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Тази_работна_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nel\Desktop\калкулатор Черно\"/>
    </mc:Choice>
  </mc:AlternateContent>
  <xr:revisionPtr revIDLastSave="0" documentId="13_ncr:1_{BD55C9A8-C698-4F2F-B6D5-C472404E804A}" xr6:coauthVersionLast="47" xr6:coauthVersionMax="47" xr10:uidLastSave="{00000000-0000-0000-0000-000000000000}"/>
  <bookViews>
    <workbookView xWindow="765" yWindow="1305" windowWidth="25035" windowHeight="16545" tabRatio="671" xr2:uid="{00000000-000D-0000-FFFF-FFFF00000000}"/>
  </bookViews>
  <sheets>
    <sheet name="черно+" sheetId="11" r:id="rId1"/>
    <sheet name="формати" sheetId="13" r:id="rId2"/>
    <sheet name="довърш." sheetId="14" r:id="rId3"/>
    <sheet name="заявка" sheetId="17" r:id="rId4"/>
    <sheet name="предпечат и ел. монтаж" sheetId="20" r:id="rId5"/>
  </sheets>
  <functionGroups builtInGroupCount="19"/>
  <definedNames>
    <definedName name="_xlnm._FilterDatabase" localSheetId="0" hidden="1">'черно+'!$A$3:$B$15</definedName>
    <definedName name="_xleta.LOOKUP" hidden="1" xlm="1">#NAME?</definedName>
    <definedName name="_xlpm._лист" hidden="1" xlm="1">#NAME?</definedName>
    <definedName name="_xlpm.e_лист" hidden="1" xlm="1">#NAME?</definedName>
    <definedName name="_xlpm.eo_лист" hidden="1" xlm="1">#NAME?</definedName>
    <definedName name="_xlpm.k_хартия" hidden="1" xlm="1">#NAME?</definedName>
    <definedName name="_xlpm.t_биг" hidden="1" xlm="1">#NAME?</definedName>
    <definedName name="_xlpm.t_лам" hidden="1" xlm="1">#NAME?</definedName>
    <definedName name="_xlpm.t_ном" hidden="1" xlm="1">#NAME?</definedName>
    <definedName name="_xlpm.t_перф" hidden="1" xlm="1">#NAME?</definedName>
    <definedName name="_xlpm.t_УВ" hidden="1" xlm="1">#NAME?</definedName>
    <definedName name="_xlpm.t_щанц" hidden="1" xlm="1">#NAME?</definedName>
    <definedName name="_xlpm.u" hidden="1" xlm="1">#NAME?</definedName>
    <definedName name="_xlpm.uf" hidden="1" xlm="1">#NAME?</definedName>
    <definedName name="_xlpm.б" hidden="1" xlm="1">#NAME?</definedName>
    <definedName name="_xlpm.б_тираж" hidden="1" xlm="1">#NAME?</definedName>
    <definedName name="_xlpm.база" hidden="1" xlm="1">#NAME?</definedName>
    <definedName name="_xlpm.база_I9" hidden="1" xlm="1">#NAME?</definedName>
    <definedName name="_xlpm.база_доставка" hidden="1" xlm="1">#NAME?</definedName>
    <definedName name="_xlpm.база_плаки" hidden="1" xlm="1">#NAME?</definedName>
    <definedName name="_xlpm.база_тираж" hidden="1" xlm="1">#NAME?</definedName>
    <definedName name="_xlpm.база_труд" hidden="1" xlm="1">#NAME?</definedName>
    <definedName name="_xlpm.база_цена" hidden="1" xlm="1">#NAME?</definedName>
    <definedName name="_xlpm.базов_коефициент" hidden="1" xlm="1">#NAME?</definedName>
    <definedName name="_xlpm.биг" hidden="1" xlm="1">#NAME?</definedName>
    <definedName name="_xlpm.биг_брой" hidden="1" xlm="1">#NAME?</definedName>
    <definedName name="_xlpm.биговане_вид" hidden="1" xlm="1">#NAME?</definedName>
    <definedName name="_xlpm.бигове" hidden="1" xlm="1">#NAME?</definedName>
    <definedName name="_xlpm.бр" hidden="1" xlm="1">#NAME?</definedName>
    <definedName name="_xlpm.бр_л" hidden="1" xlm="1">#NAME?</definedName>
    <definedName name="_xlpm.бр_ли" hidden="1" xlm="1">#NAME?</definedName>
    <definedName name="_xlpm.бр_лис" hidden="1" xlm="1">#NAME?</definedName>
    <definedName name="_xlpm.бр_лист" hidden="1" xlm="1">#NAME?</definedName>
    <definedName name="_xlpm.бр_листа" hidden="1" xlm="1">#NAME?</definedName>
    <definedName name="_xlpm.бр_тир_листа" hidden="1" xlm="1">#NAME?</definedName>
    <definedName name="_xlpm.бр_тираж" hidden="1" xlm="1">#NAME?</definedName>
    <definedName name="_xlpm.бро" hidden="1" xlm="1">#NAME?</definedName>
    <definedName name="_xlpm.брой" hidden="1" xlm="1">#NAME?</definedName>
    <definedName name="_xlpm.брой_" hidden="1" xlm="1">#NAME?</definedName>
    <definedName name="_xlpm.брой_кочани" hidden="1" xlm="1">#NAME?</definedName>
    <definedName name="_xlpm.брой_л" hidden="1" xlm="1">#NAME?</definedName>
    <definedName name="_xlpm.брой_ли" hidden="1" xlm="1">#NAME?</definedName>
    <definedName name="_xlpm.брой_лис" hidden="1" xlm="1">#NAME?</definedName>
    <definedName name="_xlpm.брой_лист" hidden="1" xlm="1">#NAME?</definedName>
    <definedName name="_xlpm.брой_листа" hidden="1" xlm="1">#NAME?</definedName>
    <definedName name="_xlpm.брой_удари" hidden="1" xlm="1">#NAME?</definedName>
    <definedName name="_xlpm.буфер" hidden="1" xlm="1">#NAME?</definedName>
    <definedName name="_xlpm.буфер_труд" hidden="1" xlm="1">#NAME?</definedName>
    <definedName name="_xlpm.в" hidden="1" xlm="1">#NAME?</definedName>
    <definedName name="_xlpm.вариант" hidden="1" xlm="1">#NAME?</definedName>
    <definedName name="_xlpm.вид" hidden="1" xlm="1">#NAME?</definedName>
    <definedName name="_xlpm.вл" hidden="1" xlm="1">#NAME?</definedName>
    <definedName name="_xlpm.вла" hidden="1" xlm="1">#NAME?</definedName>
    <definedName name="_xlpm.влаг" hidden="1" xlm="1">#NAME?</definedName>
    <definedName name="_xlpm.г" hidden="1" xlm="1">#NAME?</definedName>
    <definedName name="_xlpm.грамаж" hidden="1" xlm="1">#NAME?</definedName>
    <definedName name="_xlpm.гънки" hidden="1" xlm="1">#NAME?</definedName>
    <definedName name="_xlpm.доп_разход" hidden="1" xlm="1">#NAME?</definedName>
    <definedName name="_xlpm.е" hidden="1" xlm="1">#NAME?</definedName>
    <definedName name="_xlpm.е_лист" hidden="1" xlm="1">#NAME?</definedName>
    <definedName name="_xlpm.ед" hidden="1" xlm="1">#NAME?</definedName>
    <definedName name="_xlpm.ед_б" hidden="1" xlm="1">#NAME?</definedName>
    <definedName name="_xlpm.ед_бр" hidden="1" xlm="1">#NAME?</definedName>
    <definedName name="_xlpm.ед_лист" hidden="1" xlm="1">#NAME?</definedName>
    <definedName name="_xlpm.едБрой" hidden="1" xlm="1">#NAME?</definedName>
    <definedName name="_xlpm.еди" hidden="1" xlm="1">#NAME?</definedName>
    <definedName name="_xlpm.един" hidden="1" xlm="1">#NAME?</definedName>
    <definedName name="_xlpm.едини" hidden="1" xlm="1">#NAME?</definedName>
    <definedName name="_xlpm.единици" hidden="1" xlm="1">#NAME?</definedName>
    <definedName name="_xlpm.единич" hidden="1" xlm="1">#NAME?</definedName>
    <definedName name="_xlpm.единичн" hidden="1" xlm="1">#NAME?</definedName>
    <definedName name="_xlpm.единични" hidden="1" xlm="1">#NAME?</definedName>
    <definedName name="_xlpm.екстра_разход" hidden="1" xlm="1">#NAME?</definedName>
    <definedName name="_xlpm.екстра_хиляди" hidden="1" xlm="1">#NAME?</definedName>
    <definedName name="_xlpm.зъби" hidden="1" xlm="1">#NAME?</definedName>
    <definedName name="_xlpm.иг" hidden="1" xlm="1">#NAME?</definedName>
    <definedName name="_xlpm.ир_лист" hidden="1" xlm="1">#NAME?</definedName>
    <definedName name="_xlpm.к" hidden="1" xlm="1">#NAME?</definedName>
    <definedName name="_xlpm.картон_вид" hidden="1" xlm="1">#NAME?</definedName>
    <definedName name="_xlpm.картон_стойност" hidden="1" xlm="1">#NAME?</definedName>
    <definedName name="_xlpm.клиент" hidden="1" xlm="1">#NAME?</definedName>
    <definedName name="_xlpm.ко" hidden="1" xlm="1">#NAME?</definedName>
    <definedName name="_xlpm.коеф_дебелина" hidden="1" xlm="1">#NAME?</definedName>
    <definedName name="_xlpm.коеф_хиляди" hidden="1" xlm="1">#NAME?</definedName>
    <definedName name="_xlpm.кол" hidden="1" xlm="1">#NAME?</definedName>
    <definedName name="_xlpm.коли" hidden="1" xlm="1">#NAME?</definedName>
    <definedName name="_xlpm.комп_A" hidden="1" xlm="1">#NAME?</definedName>
    <definedName name="_xlpm.комп_B" hidden="1" xlm="1">#NAME?</definedName>
    <definedName name="_xlpm.корекция" hidden="1" xlm="1">#NAME?</definedName>
    <definedName name="_xlpm.кофициент_обръщане" hidden="1" xlm="1">#NAME?</definedName>
    <definedName name="_xlpm.кочани" hidden="1" xlm="1">#NAME?</definedName>
    <definedName name="_xlpm.Л" hidden="1" xlm="1">#NAME?</definedName>
    <definedName name="_xlpm.лам" hidden="1" xlm="1">#NAME?</definedName>
    <definedName name="_xlpm.лам_вид" hidden="1" xlm="1">#NAME?</definedName>
    <definedName name="_xlpm.лепене" hidden="1" xlm="1">#NAME?</definedName>
    <definedName name="_xlpm.лепене_стойност" hidden="1" xlm="1">#NAME?</definedName>
    <definedName name="_xlpm.ЛИ" hidden="1" xlm="1">#NAME?</definedName>
    <definedName name="_xlpm.лимит" hidden="1" xlm="1">#NAME?</definedName>
    <definedName name="_xlpm.лимит_макс" hidden="1" xlm="1">#NAME?</definedName>
    <definedName name="_xlpm.лимит_символичен" hidden="1" xlm="1">#NAME?</definedName>
    <definedName name="_xlpm.ЛИС" hidden="1" xlm="1">#NAME?</definedName>
    <definedName name="_xlpm.лист" hidden="1" xlm="1">#NAME?</definedName>
    <definedName name="_xlpm.листа" hidden="1" xlm="1">#NAME?</definedName>
    <definedName name="_xlpm.листа_корица" hidden="1" xlm="1">#NAME?</definedName>
    <definedName name="_xlpm.листа_на_удар" hidden="1" xlm="1">#NAME?</definedName>
    <definedName name="_xlpm.листа_тяло" hidden="1" xlm="1">#NAME?</definedName>
    <definedName name="_xlpm.материал" hidden="1" xlm="1">#NAME?</definedName>
    <definedName name="_xlpm.н" hidden="1" xlm="1">#NAME?</definedName>
    <definedName name="_xlpm.на" hidden="1" xlm="1">#NAME?</definedName>
    <definedName name="_xlpm.наб" hidden="1" xlm="1">#NAME?</definedName>
    <definedName name="_xlpm.набо" hidden="1" xlm="1">#NAME?</definedName>
    <definedName name="_xlpm.набор" hidden="1" xlm="1">#NAME?</definedName>
    <definedName name="_xlpm.надбавка" hidden="1" xlm="1">#NAME?</definedName>
    <definedName name="_xlpm.надбавка_дебелина" hidden="1" xlm="1">#NAME?</definedName>
    <definedName name="_xlpm.но" hidden="1" xlm="1">#NAME?</definedName>
    <definedName name="_xlpm.ном" hidden="1" xlm="1">#NAME?</definedName>
    <definedName name="_xlpm.ном_биг" hidden="1" xlm="1">#NAME?</definedName>
    <definedName name="_xlpm.ном_стойност" hidden="1" xlm="1">#NAME?</definedName>
    <definedName name="_xlpm.номе" hidden="1" xlm="1">#NAME?</definedName>
    <definedName name="_xlpm.номер" hidden="1" xlm="1">#NAME?</definedName>
    <definedName name="_xlpm.номер_" hidden="1" xlm="1">#NAME?</definedName>
    <definedName name="_xlpm.номер_с" hidden="1" xlm="1">#NAME?</definedName>
    <definedName name="_xlpm.номер_ст" hidden="1" xlm="1">#NAME?</definedName>
    <definedName name="_xlpm.номер_стр" hidden="1" xlm="1">#NAME?</definedName>
    <definedName name="_xlpm.общ_тир" hidden="1" xlm="1">#NAME?</definedName>
    <definedName name="_xlpm.общо_листа" hidden="1" xlm="1">#NAME?</definedName>
    <definedName name="_xlpm.общо_страници" hidden="1" xlm="1">#NAME?</definedName>
    <definedName name="_xlpm.общо_удари" hidden="1" xlm="1">#NAME?</definedName>
    <definedName name="_xlpm.оскъпяване_от_дебелина" hidden="1" xlm="1">#NAME?</definedName>
    <definedName name="_xlpm.пачки" hidden="1" xlm="1">#NAME?</definedName>
    <definedName name="_xlpm.перф" hidden="1" xlm="1">#NAME?</definedName>
    <definedName name="_xlpm.перфо" hidden="1" xlm="1">#NAME?</definedName>
    <definedName name="_xlpm.перфо_стойност" hidden="1" xlm="1">#NAME?</definedName>
    <definedName name="_xlpm.плаки" hidden="1" xlm="1">#NAME?</definedName>
    <definedName name="_xlpm.подготовка" hidden="1" xlm="1">#NAME?</definedName>
    <definedName name="_xlpm.праг_евро" hidden="1" xlm="1">#NAME?</definedName>
    <definedName name="_xlpm.р" hidden="1" xlm="1">#NAME?</definedName>
    <definedName name="_xlpm.р_вид" hidden="1" xlm="1">#NAME?</definedName>
    <definedName name="_xlpm.ра" hidden="1" xlm="1">#NAME?</definedName>
    <definedName name="_xlpm.ра_вид" hidden="1" xlm="1">#NAME?</definedName>
    <definedName name="_xlpm.раз" hidden="1" xlm="1">#NAME?</definedName>
    <definedName name="_xlpm.раз_вид" hidden="1" xlm="1">#NAME?</definedName>
    <definedName name="_xlpm.разд_вид" hidden="1" xlm="1">#NAME?</definedName>
    <definedName name="_xlpm.разм" hidden="1" xlm="1">#NAME?</definedName>
    <definedName name="_xlpm.размер" hidden="1" xlm="1">#NAME?</definedName>
    <definedName name="_xlpm.размн" hidden="1" xlm="1">#NAME?</definedName>
    <definedName name="_xlpm.размно" hidden="1" xlm="1">#NAME?</definedName>
    <definedName name="_xlpm.размнож" hidden="1" xlm="1">#NAME?</definedName>
    <definedName name="_xlpm.размноже" hidden="1" xlm="1">#NAME?</definedName>
    <definedName name="_xlpm.размножен" hidden="1" xlm="1">#NAME?</definedName>
    <definedName name="_xlpm.размножени" hidden="1" xlm="1">#NAME?</definedName>
    <definedName name="_xlpm.размножения" hidden="1" xlm="1">#NAME?</definedName>
    <definedName name="_xlpm.резултат" hidden="1" xlm="1">#NAME?</definedName>
    <definedName name="_xlpm.с_вид" hidden="1" xlm="1">#NAME?</definedName>
    <definedName name="_xlpm.сг_вид" hidden="1" xlm="1">#NAME?</definedName>
    <definedName name="_xlpm.сгъ_вид" hidden="1" xlm="1">#NAME?</definedName>
    <definedName name="_xlpm.сгъв_б" hidden="1" xlm="1">#NAME?</definedName>
    <definedName name="_xlpm.сгъв_бр" hidden="1" xlm="1">#NAME?</definedName>
    <definedName name="_xlpm.сгъв_вид" hidden="1" xlm="1">#NAME?</definedName>
    <definedName name="_xlpm.сгъв_стойност" hidden="1" xlm="1">#NAME?</definedName>
    <definedName name="_xlpm.слоеве" hidden="1" xlm="1">#NAME?</definedName>
    <definedName name="_xlpm.сметка" hidden="1" xlm="1">#NAME?</definedName>
    <definedName name="_xlpm.сметка_I13" hidden="1" xlm="1">#NAME?</definedName>
    <definedName name="_xlpm.сметка_пакетиране" hidden="1" xlm="1">#NAME?</definedName>
    <definedName name="_xlpm.списък" hidden="1" xlm="1">#NAME?</definedName>
    <definedName name="_xlpm.стойност_L5" hidden="1" xlm="1">#NAME?</definedName>
    <definedName name="_xlpm.стойност_M5" hidden="1" xlm="1">#NAME?</definedName>
    <definedName name="_xlpm.страници" hidden="1" xlm="1">#NAME?</definedName>
    <definedName name="_xlpm.страници_100" hidden="1" xlm="1">#NAME?</definedName>
    <definedName name="_xlpm.текст_" hidden="1" xlm="1">#NAME?</definedName>
    <definedName name="_xlpm.текст_W" hidden="1" xlm="1">#NAME?</definedName>
    <definedName name="_xlpm.текст_б" hidden="1" xlm="1">#NAME?</definedName>
    <definedName name="_xlpm.текст_би" hidden="1" xlm="1">#NAME?</definedName>
    <definedName name="_xlpm.текст_биг" hidden="1" xlm="1">#NAME?</definedName>
    <definedName name="_xlpm.текст_биго" hidden="1" xlm="1">#NAME?</definedName>
    <definedName name="_xlpm.текст_бигов" hidden="1" xlm="1">#NAME?</definedName>
    <definedName name="_xlpm.текст_бигова" hidden="1" xlm="1">#NAME?</definedName>
    <definedName name="_xlpm.текст_бигован" hidden="1" xlm="1">#NAME?</definedName>
    <definedName name="_xlpm.текст_биговане" hidden="1" xlm="1">#NAME?</definedName>
    <definedName name="_xlpm.текст_в" hidden="1" xlm="1">#NAME?</definedName>
    <definedName name="_xlpm.текст_вл" hidden="1" xlm="1">#NAME?</definedName>
    <definedName name="_xlpm.текст_вла" hidden="1" xlm="1">#NAME?</definedName>
    <definedName name="_xlpm.текст_влаг" hidden="1" xlm="1">#NAME?</definedName>
    <definedName name="_xlpm.текст_картон" hidden="1" xlm="1">#NAME?</definedName>
    <definedName name="_xlpm.текст_лам" hidden="1" xlm="1">#NAME?</definedName>
    <definedName name="_xlpm.текст_ламинат" hidden="1" xlm="1">#NAME?</definedName>
    <definedName name="_xlpm.текст_лепене" hidden="1" xlm="1">#NAME?</definedName>
    <definedName name="_xlpm.текст_н" hidden="1" xlm="1">#NAME?</definedName>
    <definedName name="_xlpm.текст_на" hidden="1" xlm="1">#NAME?</definedName>
    <definedName name="_xlpm.текст_наб" hidden="1" xlm="1">#NAME?</definedName>
    <definedName name="_xlpm.текст_набо" hidden="1" xlm="1">#NAME?</definedName>
    <definedName name="_xlpm.текст_набор" hidden="1" xlm="1">#NAME?</definedName>
    <definedName name="_xlpm.текст_ном" hidden="1" xlm="1">#NAME?</definedName>
    <definedName name="_xlpm.текст_номерация" hidden="1" xlm="1">#NAME?</definedName>
    <definedName name="_xlpm.текст_перф" hidden="1" xlm="1">#NAME?</definedName>
    <definedName name="_xlpm.текст_перфо" hidden="1" xlm="1">#NAME?</definedName>
    <definedName name="_xlpm.текст_перфорация" hidden="1" xlm="1">#NAME?</definedName>
    <definedName name="_xlpm.текст_сгъв" hidden="1" xlm="1">#NAME?</definedName>
    <definedName name="_xlpm.текст_Стр" hidden="1" xlm="1">#NAME?</definedName>
    <definedName name="_xlpm.текст_У" hidden="1" xlm="1">#NAME?</definedName>
    <definedName name="_xlpm.текст_УВ" hidden="1" xlm="1">#NAME?</definedName>
    <definedName name="_xlpm.текст_щанц" hidden="1" xlm="1">#NAME?</definedName>
    <definedName name="_xlpm.текст_щанцоване" hidden="1" xlm="1">#NAME?</definedName>
    <definedName name="_xlpm.тип" hidden="1" xlm="1">#NAME?</definedName>
    <definedName name="_xlpm.тип_лак" hidden="1" xlm="1">#NAME?</definedName>
    <definedName name="_xlpm.тип_лам" hidden="1" xlm="1">#NAME?</definedName>
    <definedName name="_xlpm.тир" hidden="1" xlm="1">#NAME?</definedName>
    <definedName name="_xlpm.тир_лист" hidden="1" xlm="1">#NAME?</definedName>
    <definedName name="_xlpm.тир_листа" hidden="1" xlm="1">#NAME?</definedName>
    <definedName name="_xlpm.тир_фира" hidden="1" xlm="1">#NAME?</definedName>
    <definedName name="_xlpm.тираж" hidden="1" xlm="1">#NAME?</definedName>
    <definedName name="_xlpm.тираж_100" hidden="1" xlm="1">#NAME?</definedName>
    <definedName name="_xlpm.тираж_1000" hidden="1" xlm="1">#NAME?</definedName>
    <definedName name="_xlpm.тираж_база" hidden="1" xlm="1">#NAME?</definedName>
    <definedName name="_xlpm.тираж_закр" hidden="1" xlm="1">#NAME?</definedName>
    <definedName name="_xlpm.тираж_коригиран" hidden="1" xlm="1">#NAME?</definedName>
    <definedName name="_xlpm.тираж_фира" hidden="1" xlm="1">#NAME?</definedName>
    <definedName name="_xlpm.УВ" hidden="1" xlm="1">#NAME?</definedName>
    <definedName name="_xlpm.УВ_вид" hidden="1" xlm="1">#NAME?</definedName>
    <definedName name="_xlpm.увеличение" hidden="1" xlm="1">#NAME?</definedName>
    <definedName name="_xlpm.удари" hidden="1" xlm="1">#NAME?</definedName>
    <definedName name="_xlpm.удари_коригирани" hidden="1" xlm="1">#NAME?</definedName>
    <definedName name="_xlpm.удари_хиляди" hidden="1" xlm="1">#NAME?</definedName>
    <definedName name="_xlpm.удари_чисти" hidden="1" xlm="1">#NAME?</definedName>
    <definedName name="_xlpm.хиляди" hidden="1" xlm="1">#NAME?</definedName>
    <definedName name="_xlpm.хиляди_над" hidden="1" xlm="1">#NAME?</definedName>
    <definedName name="_xlpm.цветност" hidden="1" xlm="1">#NAME?</definedName>
    <definedName name="_xlpm.цветове" hidden="1" xlm="1">#NAME?</definedName>
    <definedName name="_xlpm.цветове_гръб" hidden="1" xlm="1">#NAME?</definedName>
    <definedName name="_xlpm.цвят_гръб" hidden="1" xlm="1">#NAME?</definedName>
    <definedName name="_xlpm.цвят_лице" hidden="1" xlm="1">#NAME?</definedName>
    <definedName name="_xlpm.цели_листа" hidden="1" xlm="1">#NAME?</definedName>
    <definedName name="_xlpm.цена" hidden="1" xlm="1">#NAME?</definedName>
    <definedName name="_xlpm.цена_3стр" hidden="1" xlm="1">#NAME?</definedName>
    <definedName name="_xlpm.цена_3стр_нова" hidden="1" xlm="1">#NAME?</definedName>
    <definedName name="_xlpm.цена_3страни" hidden="1" xlm="1">#NAME?</definedName>
    <definedName name="_xlpm.цена_ани" hidden="1" xlm="1">#NAME?</definedName>
    <definedName name="_xlpm.цена_база" hidden="1" xlm="1">#NAME?</definedName>
    <definedName name="_xlpm.цена_доставка" hidden="1" xlm="1">#NAME?</definedName>
    <definedName name="_xlpm.цена_други" hidden="1" xlm="1">#NAME?</definedName>
    <definedName name="_xlpm.цена_ед" hidden="1" xlm="1">#NAME?</definedName>
    <definedName name="_xlpm.цена_единична" hidden="1" xlm="1">#NAME?</definedName>
    <definedName name="_xlpm.цена_зъб" hidden="1" xlm="1">#NAME?</definedName>
    <definedName name="_xlpm.цена_кубчета" hidden="1" xlm="1">#NAME?</definedName>
    <definedName name="_xlpm.цена_лепене" hidden="1" xlm="1">#NAME?</definedName>
    <definedName name="_xlpm.цена_микро" hidden="1" xlm="1">#NAME?</definedName>
    <definedName name="_xlpm.цена_на_100" hidden="1" xlm="1">#NAME?</definedName>
    <definedName name="_xlpm.цена_на_100_бр" hidden="1" xlm="1">#NAME?</definedName>
    <definedName name="_xlpm.цена_на_1000_книжки" hidden="1" xlm="1">#NAME?</definedName>
    <definedName name="_xlpm.цена_с_закръгление" hidden="1" xlm="1">#NAME?</definedName>
    <definedName name="_xlpm.цена_стандарт" hidden="1" xlm="1">#NAME?</definedName>
    <definedName name="_xlpm.цена_форматиране" hidden="1" xlm="1">#NAME?</definedName>
    <definedName name="_xlpm.цена_цвят" hidden="1" xlm="1">#NAME?</definedName>
    <definedName name="_xlpm.ш_стойност" hidden="1" xlm="1">#NAME?</definedName>
    <definedName name="_xlpm.ши_стойност" hidden="1" xlm="1">#NAME?</definedName>
    <definedName name="_xlpm.шие_стойност" hidden="1" xlm="1">#NAME?</definedName>
    <definedName name="_xlpm.шиен_стойност" hidden="1" xlm="1">#NAME?</definedName>
    <definedName name="_xlpm.шиене_стойност" hidden="1" xlm="1">#NAME?</definedName>
    <definedName name="_xlpm.щанц" hidden="1" xlm="1">#NAME?</definedName>
    <definedName name="el.montaj">montaj[изделие]</definedName>
    <definedName name="f.43x61">формати!$B$43:$B$44</definedName>
    <definedName name="f.50x70">формати!$B$21:$B$25</definedName>
    <definedName name="f.60x84">формати!$B$38:$B$39</definedName>
    <definedName name="f.60x90">формати!$B$26:$B$29</definedName>
    <definedName name="f.61x86" comment="ema+agresione">формати!$B$40:$B$42</definedName>
    <definedName name="f.64x88">формати!$B$33:$B$37</definedName>
    <definedName name="f.64x90">формати!$B$16:$B$20</definedName>
    <definedName name="f.64x94">формати!$B$30:$B$32</definedName>
    <definedName name="f.70x100">формати!$B$2:$B$15</definedName>
    <definedName name="form_Cyal_list">таб_Цял_Лист[]</definedName>
    <definedName name="formati">формати!$E$14:$E$24</definedName>
    <definedName name="Hymiya" comment="43x61">формати!$B$45:$B$46</definedName>
    <definedName name="inch">#REF!</definedName>
    <definedName name="lak">довърш.!$I$2:$I$10</definedName>
    <definedName name="lepene">довърш.!$A$3:$A$9</definedName>
    <definedName name="obr.">довърш.!$C$5:$C$8</definedName>
    <definedName name="podgot_cena">довърш.!$L$11:$L$13</definedName>
    <definedName name="solver_adj" localSheetId="1" hidden="1">формати!#REF!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формати!#REF!</definedName>
    <definedName name="solver_lhs2" localSheetId="1" hidden="1">формати!#REF!</definedName>
    <definedName name="solver_lhs3" localSheetId="1" hidden="1">формати!#REF!</definedName>
    <definedName name="solver_lhs4" localSheetId="1" hidden="1">формати!#REF!</definedName>
    <definedName name="solver_mip" localSheetId="1" hidden="1">2147483647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формати!#REF!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el4" localSheetId="1" hidden="1">3</definedName>
    <definedName name="solver_rhs1" localSheetId="1" hidden="1">0</definedName>
    <definedName name="solver_rhs2" localSheetId="1" hidden="1">1</definedName>
    <definedName name="solver_rhs3" localSheetId="1" hidden="1">0</definedName>
    <definedName name="solver_rhs4" localSheetId="1" hidden="1">1</definedName>
    <definedName name="solver_rlx" localSheetId="1" hidden="1">2</definedName>
    <definedName name="solver_scl" localSheetId="1" hidden="1">2</definedName>
    <definedName name="solver_sho" localSheetId="1" hidden="1">2</definedName>
    <definedName name="solver_ssz" localSheetId="1" hidden="1">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uv">Таблица1[УВ лак/ламиниране]</definedName>
    <definedName name="uv_podgot">довърш.!$I$11:$I$13</definedName>
    <definedName name="плаки">формати!$B$47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" i="11" l="1"/>
  <c r="G4" i="11" s="1"/>
  <c r="G27" i="11"/>
  <c r="I8" i="11"/>
  <c r="B13" i="11"/>
  <c r="I3" i="13" a="1"/>
  <c r="F7" i="13" a="1"/>
  <c r="B11" i="11" a="1"/>
  <c r="K6" i="11" a="1"/>
  <c r="H6" i="11"/>
  <c r="I3" i="13" l="1"/>
  <c r="K6" i="11"/>
  <c r="B11" i="11"/>
  <c r="B12" i="11" s="1"/>
  <c r="F7" i="13"/>
  <c r="G15" i="11"/>
  <c r="D6" i="17"/>
  <c r="D7" i="17"/>
  <c r="G6" i="11" a="1"/>
  <c r="G6" i="11" l="1"/>
  <c r="B14" i="11"/>
  <c r="B15" i="11" s="1"/>
  <c r="J28" i="11"/>
  <c r="A13" i="11" l="1"/>
  <c r="B2" i="17"/>
  <c r="I2" i="17"/>
  <c r="B4" i="17"/>
  <c r="B5" i="17"/>
  <c r="B3" i="17"/>
  <c r="D2" i="17"/>
  <c r="D8" i="17" l="1"/>
  <c r="F5" i="13" l="1"/>
  <c r="J20" i="11" l="1"/>
  <c r="G20" i="11" l="1" a="1"/>
  <c r="G20" i="11" s="1"/>
  <c r="G16" i="11"/>
  <c r="B8" i="17" l="1"/>
  <c r="G17" i="11" a="1"/>
  <c r="G17" i="11" s="1"/>
  <c r="G10" i="11"/>
  <c r="B9" i="17" s="1"/>
  <c r="G19" i="11" a="1"/>
  <c r="G19" i="11" s="1"/>
  <c r="O19" i="11"/>
  <c r="G23" i="11"/>
  <c r="G13" i="11" l="1" a="1"/>
  <c r="G13" i="11" s="1"/>
  <c r="G7" i="11" l="1"/>
  <c r="J25" i="11"/>
  <c r="G25" i="11" s="1" a="1"/>
  <c r="G25" i="11" s="1"/>
  <c r="G26" i="11" l="1"/>
  <c r="G11" i="11"/>
  <c r="O21" i="11"/>
  <c r="E10" i="20"/>
  <c r="E4" i="20" l="1"/>
  <c r="E3" i="20" s="1"/>
  <c r="J12" i="14"/>
  <c r="K8" i="14"/>
  <c r="J8" i="14"/>
  <c r="K6" i="14"/>
  <c r="K4" i="14"/>
  <c r="G14" i="11" s="1" a="1"/>
  <c r="G14" i="11" s="1"/>
  <c r="J4" i="14"/>
  <c r="I22" i="11"/>
  <c r="G8" i="11"/>
  <c r="H5" i="11"/>
  <c r="G5" i="11" s="1" a="1"/>
  <c r="G5" i="11" s="1"/>
  <c r="G22" i="11" l="1"/>
  <c r="G18" i="11" l="1"/>
  <c r="G9" i="11" a="1"/>
  <c r="G9" i="11" l="1"/>
  <c r="G28" i="11" s="1"/>
  <c r="A7" i="17"/>
  <c r="A14" i="11"/>
  <c r="G3" i="11"/>
  <c r="D5" i="17" a="1"/>
  <c r="D5" i="17" l="1"/>
  <c r="G33" i="11"/>
  <c r="G30" i="11"/>
  <c r="D3" i="17" a="1"/>
  <c r="D3" i="17" l="1"/>
  <c r="G32" i="11"/>
  <c r="G31" i="11"/>
  <c r="D4" i="17" a="1"/>
  <c r="D4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Petrova</author>
    <author>Yavor Petrov</author>
    <author>Yavor</author>
  </authors>
  <commentList>
    <comment ref="B3" authorId="0" shapeId="0" xr:uid="{00000000-0006-0000-0700-000001000000}">
      <text>
        <r>
          <rPr>
            <sz val="9"/>
            <color indexed="81"/>
            <rFont val="Tahoma"/>
            <family val="2"/>
            <charset val="204"/>
          </rPr>
          <t>2хА5</t>
        </r>
      </text>
    </comment>
    <comment ref="B4" authorId="1" shapeId="0" xr:uid="{A236887F-80A3-4A4C-AC4D-7F73E3F1D875}">
      <text/>
    </comment>
    <comment ref="B5" authorId="1" shapeId="0" xr:uid="{49680FB3-2EEC-4A0C-BE93-826767D92318}">
      <text/>
    </comment>
    <comment ref="B8" authorId="0" shapeId="0" xr:uid="{00000000-0006-0000-0700-000002000000}">
      <text>
        <r>
          <rPr>
            <sz val="9"/>
            <color indexed="81"/>
            <rFont val="Tahoma"/>
            <family val="2"/>
            <charset val="204"/>
          </rPr>
          <t>2хА5</t>
        </r>
      </text>
    </comment>
    <comment ref="B10" authorId="1" shapeId="0" xr:uid="{4D23E5E7-A772-4F39-A4F7-82843545C42B}">
      <text/>
    </comment>
    <comment ref="B11" authorId="1" shapeId="0" xr:uid="{AF698E13-2763-4D7B-8C92-A52E6696C099}">
      <text/>
    </comment>
    <comment ref="B12" authorId="1" shapeId="0" xr:uid="{6D452FE5-F621-4FD5-8F64-E9340A1B53E1}">
      <text>
        <r>
          <rPr>
            <sz val="9"/>
            <color indexed="81"/>
            <rFont val="Segoe UI"/>
            <family val="2"/>
            <charset val="204"/>
          </rPr>
          <t xml:space="preserve">
</t>
        </r>
      </text>
    </comment>
    <comment ref="B13" authorId="1" shapeId="0" xr:uid="{F198172A-2793-4F00-83F5-C6C2A9C1CE44}">
      <text/>
    </comment>
    <comment ref="B14" authorId="1" shapeId="0" xr:uid="{EEBFC672-4D73-4071-80AF-229B04326345}">
      <text/>
    </comment>
    <comment ref="B15" authorId="1" shapeId="0" xr:uid="{A8F8F0F7-1669-4981-895B-5902EE33C16C}">
      <text/>
    </comment>
    <comment ref="B19" authorId="1" shapeId="0" xr:uid="{5AB5FB11-CA0E-432A-AEB6-C2C72B7EC7E7}">
      <text/>
    </comment>
    <comment ref="B20" authorId="1" shapeId="0" xr:uid="{5AC3D8A5-AAFF-4B0E-8BA0-2E4DC160433C}">
      <text/>
    </comment>
    <comment ref="A3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дв. Хром до 130 гр</t>
        </r>
      </text>
    </comment>
    <comment ref="A33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в Агресионе дв. хром</t>
        </r>
        <r>
          <rPr>
            <sz val="9"/>
            <color indexed="81"/>
            <rFont val="Tahoma"/>
            <family val="2"/>
            <charset val="204"/>
          </rPr>
          <t xml:space="preserve">
80 гр
130-300 гр</t>
        </r>
      </text>
    </comment>
    <comment ref="A45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Yavor:43x61</t>
        </r>
        <r>
          <rPr>
            <sz val="9"/>
            <color indexed="81"/>
            <rFont val="Tahoma"/>
            <family val="2"/>
            <charset val="204"/>
          </rPr>
          <t xml:space="preserve">
химизирана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Petrova</author>
    <author>Yavor Petrov</author>
    <author>Yavor</author>
  </authors>
  <commentList>
    <comment ref="A6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+15 лв подготовка</t>
        </r>
      </text>
    </comment>
    <comment ref="L9" authorId="1" shapeId="0" xr:uid="{78725B49-3CCF-49D6-AA95-35CCDAC54B0D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има стойности от </t>
        </r>
        <r>
          <rPr>
            <b/>
            <sz val="9"/>
            <color indexed="81"/>
            <rFont val="Segoe UI"/>
            <family val="2"/>
            <charset val="204"/>
          </rPr>
          <t>лист Черно</t>
        </r>
      </text>
    </comment>
    <comment ref="L10" authorId="1" shapeId="0" xr:uid="{D685CE38-F757-4A53-B96F-E6560528ACC2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има стойности от </t>
        </r>
        <r>
          <rPr>
            <b/>
            <sz val="9"/>
            <color indexed="81"/>
            <rFont val="Segoe UI"/>
            <family val="2"/>
            <charset val="204"/>
          </rPr>
          <t>лист Черно</t>
        </r>
      </text>
    </comment>
    <comment ref="I11" authorId="2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Yavor:</t>
        </r>
        <r>
          <rPr>
            <sz val="9"/>
            <color indexed="81"/>
            <rFont val="Tahoma"/>
            <family val="2"/>
            <charset val="204"/>
          </rPr>
          <t xml:space="preserve">
+60 лв подготовка
+5 лв филм</t>
        </r>
      </text>
    </comment>
    <comment ref="A19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продупчване и завързване на конец през листите на кочан / без лепене на листче върху конеца на гърба на кочана /</t>
        </r>
      </text>
    </comment>
    <comment ref="A20" authorId="0" shapeId="0" xr:uid="{00000000-0006-0000-0800-000005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с един удар се продупчва 10мм хартия (приблизително 20 бр. етикети - двустранен хром 350г/м2</t>
        </r>
      </text>
    </comment>
    <comment ref="A21" authorId="0" shapeId="0" xr:uid="{00000000-0006-0000-0800-000006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с един удар се заобля 10мм хартия (приблизително 50бр. календарчета - двустранен хром 350г/м2 с УВ)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<sst xmlns="http://schemas.openxmlformats.org/spreadsheetml/2006/main" count="342" uniqueCount="218">
  <si>
    <t>формат на х-я</t>
  </si>
  <si>
    <t>формат за печат</t>
  </si>
  <si>
    <t>чист тираж</t>
  </si>
  <si>
    <t>цели листа</t>
  </si>
  <si>
    <t>45x32</t>
  </si>
  <si>
    <t>единични бройки</t>
  </si>
  <si>
    <t>размножения на тираж. лист</t>
  </si>
  <si>
    <t>печат</t>
  </si>
  <si>
    <t>плаки</t>
  </si>
  <si>
    <t>общо</t>
  </si>
  <si>
    <t>1/лист</t>
  </si>
  <si>
    <t>бр</t>
  </si>
  <si>
    <t>рязане</t>
  </si>
  <si>
    <t>CMYK-15 лв/цвят</t>
  </si>
  <si>
    <t>печат-лице/гръб</t>
  </si>
  <si>
    <t>1 цвят/ черно</t>
  </si>
  <si>
    <t>черно с обр.</t>
  </si>
  <si>
    <t>CMYK с обр</t>
  </si>
  <si>
    <t>цветност гръб</t>
  </si>
  <si>
    <t>цветност лице</t>
  </si>
  <si>
    <t>обръщане</t>
  </si>
  <si>
    <t>печат над 1000</t>
  </si>
  <si>
    <t>ддс</t>
  </si>
  <si>
    <t>предпечат</t>
  </si>
  <si>
    <t>50x23</t>
  </si>
  <si>
    <t>биговане</t>
  </si>
  <si>
    <t>да</t>
  </si>
  <si>
    <t>не</t>
  </si>
  <si>
    <t>гланц</t>
  </si>
  <si>
    <t>мат</t>
  </si>
  <si>
    <t>гланц дв.</t>
  </si>
  <si>
    <t>мат дв.</t>
  </si>
  <si>
    <t>без</t>
  </si>
  <si>
    <t>щанцоване</t>
  </si>
  <si>
    <t>шиене</t>
  </si>
  <si>
    <t>сгъване</t>
  </si>
  <si>
    <t>лепене</t>
  </si>
  <si>
    <t>кубчета</t>
  </si>
  <si>
    <t>джоб</t>
  </si>
  <si>
    <t>заоб. /замба</t>
  </si>
  <si>
    <t>номерация</t>
  </si>
  <si>
    <t>pass 0000</t>
  </si>
  <si>
    <t>35x33</t>
  </si>
  <si>
    <t>32x30</t>
  </si>
  <si>
    <t>70х100</t>
  </si>
  <si>
    <t>64х90</t>
  </si>
  <si>
    <t>50х70</t>
  </si>
  <si>
    <t>35x25</t>
  </si>
  <si>
    <t>35х25*</t>
  </si>
  <si>
    <t>тираж. Листа от лист</t>
  </si>
  <si>
    <t>формат/цял лист</t>
  </si>
  <si>
    <t>формати/печат</t>
  </si>
  <si>
    <t>УВ лак/ламиниране</t>
  </si>
  <si>
    <t>45x21.3</t>
  </si>
  <si>
    <t>изделие</t>
  </si>
  <si>
    <t>други</t>
  </si>
  <si>
    <t>цена</t>
  </si>
  <si>
    <t>знаменца</t>
  </si>
  <si>
    <t>33x23</t>
  </si>
  <si>
    <t>кадифе</t>
  </si>
  <si>
    <t>черно+</t>
  </si>
  <si>
    <t>перфорация</t>
  </si>
  <si>
    <t>¼ с обръщ.</t>
  </si>
  <si>
    <t>50x25</t>
  </si>
  <si>
    <t>кутии</t>
  </si>
  <si>
    <t>частичен</t>
  </si>
  <si>
    <t>60x90</t>
  </si>
  <si>
    <t>за печат</t>
  </si>
  <si>
    <t>тираж/лист</t>
  </si>
  <si>
    <t>½ с обръщ.</t>
  </si>
  <si>
    <t>надпечат.</t>
  </si>
  <si>
    <t>хартия</t>
  </si>
  <si>
    <t>Ценообразуване</t>
  </si>
  <si>
    <t>ед. Бройка</t>
  </si>
  <si>
    <t>64x94</t>
  </si>
  <si>
    <t>31x21</t>
  </si>
  <si>
    <t>32x21</t>
  </si>
  <si>
    <t>64x88</t>
  </si>
  <si>
    <t>32x29</t>
  </si>
  <si>
    <t>40x30</t>
  </si>
  <si>
    <t>23x17.5</t>
  </si>
  <si>
    <t>22.5x21</t>
  </si>
  <si>
    <t>43x30.5</t>
  </si>
  <si>
    <t>487х330</t>
  </si>
  <si>
    <t>плакат</t>
  </si>
  <si>
    <t>листовки/стикери</t>
  </si>
  <si>
    <t>етикети/визитки</t>
  </si>
  <si>
    <t>ел. монтаж</t>
  </si>
  <si>
    <t>корици</t>
  </si>
  <si>
    <t>отнася се за 1 размножение !!!!!</t>
  </si>
  <si>
    <t>каширане</t>
  </si>
  <si>
    <t>броене/разделяне/лепене/пакетиране</t>
  </si>
  <si>
    <t>клише/преге  х</t>
  </si>
  <si>
    <t>y</t>
  </si>
  <si>
    <t>страниране</t>
  </si>
  <si>
    <t xml:space="preserve"> </t>
  </si>
  <si>
    <t>филм</t>
  </si>
  <si>
    <t>30x20</t>
  </si>
  <si>
    <t>30x20-</t>
  </si>
  <si>
    <t>45x20</t>
  </si>
  <si>
    <t>29x21</t>
  </si>
  <si>
    <t>44x21</t>
  </si>
  <si>
    <t>25x23.3</t>
  </si>
  <si>
    <t>45x30</t>
  </si>
  <si>
    <t>44x32</t>
  </si>
  <si>
    <t>47x32</t>
  </si>
  <si>
    <t>50x35</t>
  </si>
  <si>
    <t>50x35*</t>
  </si>
  <si>
    <t>25x17.5</t>
  </si>
  <si>
    <t>30.5x21.5</t>
  </si>
  <si>
    <t>25x23.3*</t>
  </si>
  <si>
    <t>25x17.5*</t>
  </si>
  <si>
    <t>кадифе дв.</t>
  </si>
  <si>
    <t>а</t>
  </si>
  <si>
    <t>над дв.</t>
  </si>
  <si>
    <t>печалба</t>
  </si>
  <si>
    <t>разходи</t>
  </si>
  <si>
    <t>Ламиниране</t>
  </si>
  <si>
    <t>ел.монтаж</t>
  </si>
  <si>
    <t>флаери</t>
  </si>
  <si>
    <t>бошура/покана</t>
  </si>
  <si>
    <t>35x20</t>
  </si>
  <si>
    <t>разделители</t>
  </si>
  <si>
    <t>на</t>
  </si>
  <si>
    <t>%</t>
  </si>
  <si>
    <t>33х17.5</t>
  </si>
  <si>
    <t>0,01/кола</t>
  </si>
  <si>
    <t>60х84</t>
  </si>
  <si>
    <t>42х30</t>
  </si>
  <si>
    <t>30х28</t>
  </si>
  <si>
    <t>61х86</t>
  </si>
  <si>
    <t>43х30.5</t>
  </si>
  <si>
    <t>30.5х28.6</t>
  </si>
  <si>
    <t>очупване</t>
  </si>
  <si>
    <t>транспорт</t>
  </si>
  <si>
    <t>каландър</t>
  </si>
  <si>
    <r>
      <rPr>
        <b/>
        <sz val="9"/>
        <color theme="9" tint="-0.249977111117893"/>
        <rFont val="Arial"/>
        <family val="2"/>
        <charset val="204"/>
      </rPr>
      <t>УВ лак</t>
    </r>
    <r>
      <rPr>
        <sz val="9"/>
        <color theme="9" tint="-0.249977111117893"/>
        <rFont val="Arial"/>
        <family val="2"/>
        <charset val="204"/>
      </rPr>
      <t>/Надпечатен</t>
    </r>
  </si>
  <si>
    <t>замба</t>
  </si>
  <si>
    <t>прошнуроване</t>
  </si>
  <si>
    <t>заобляне на ъгли</t>
  </si>
  <si>
    <t>сгъване/биговане</t>
  </si>
  <si>
    <t>¾</t>
  </si>
  <si>
    <t>50x23*</t>
  </si>
  <si>
    <t>45х25</t>
  </si>
  <si>
    <t>f.64x90</t>
  </si>
  <si>
    <t>размножения</t>
  </si>
  <si>
    <t>f.60x90</t>
  </si>
  <si>
    <t>f.64x94</t>
  </si>
  <si>
    <t>f.64x88</t>
  </si>
  <si>
    <t>f.70x100</t>
  </si>
  <si>
    <t>f.50x70</t>
  </si>
  <si>
    <t>f.60x84</t>
  </si>
  <si>
    <t>f.61x86</t>
  </si>
  <si>
    <t>30х30</t>
  </si>
  <si>
    <t>част. дв</t>
  </si>
  <si>
    <t>част.обем</t>
  </si>
  <si>
    <t>Hymiya</t>
  </si>
  <si>
    <t>Himiya</t>
  </si>
  <si>
    <t>32х22</t>
  </si>
  <si>
    <t>30.5х21.5</t>
  </si>
  <si>
    <t>43х61</t>
  </si>
  <si>
    <t>43х30.5*</t>
  </si>
  <si>
    <t>30.5х21.5*</t>
  </si>
  <si>
    <t>f.43x61</t>
  </si>
  <si>
    <t>км</t>
  </si>
  <si>
    <t>гориво цена</t>
  </si>
  <si>
    <t>Оскъпяване</t>
  </si>
  <si>
    <t>минимално</t>
  </si>
  <si>
    <t>мм</t>
  </si>
  <si>
    <t>дв. Лепяща</t>
  </si>
  <si>
    <t>дублаж</t>
  </si>
  <si>
    <t/>
  </si>
  <si>
    <t>32х22.5</t>
  </si>
  <si>
    <t>1 EUR</t>
  </si>
  <si>
    <t>BGN</t>
  </si>
  <si>
    <t>0,01/удар</t>
  </si>
  <si>
    <t>0,0015/номер</t>
  </si>
  <si>
    <r>
      <t xml:space="preserve">0.25 </t>
    </r>
    <r>
      <rPr>
        <sz val="11"/>
        <color theme="1"/>
        <rFont val="Arial"/>
        <family val="2"/>
        <charset val="204"/>
      </rPr>
      <t>€</t>
    </r>
    <r>
      <rPr>
        <sz val="11"/>
        <color theme="1"/>
        <rFont val="Calibri"/>
        <family val="2"/>
        <charset val="204"/>
        <scheme val="minor"/>
      </rPr>
      <t>/кочан</t>
    </r>
  </si>
  <si>
    <r>
      <t xml:space="preserve">0.01 €/ удар + 2,56 </t>
    </r>
    <r>
      <rPr>
        <sz val="11"/>
        <color theme="1"/>
        <rFont val="Arial"/>
        <family val="2"/>
        <charset val="204"/>
      </rPr>
      <t>€</t>
    </r>
    <r>
      <rPr>
        <sz val="11"/>
        <color theme="1"/>
        <rFont val="Calibri"/>
        <family val="2"/>
        <charset val="204"/>
        <scheme val="minor"/>
      </rPr>
      <t xml:space="preserve"> подготовка на машината</t>
    </r>
  </si>
  <si>
    <t>10,23 €/подготовка</t>
  </si>
  <si>
    <t>0.01 €/ удар + 2,56 € подготовка на машината</t>
  </si>
  <si>
    <t>УВ цена €</t>
  </si>
  <si>
    <t>ламин/цена €</t>
  </si>
  <si>
    <t>подготовка €</t>
  </si>
  <si>
    <t>номерация €</t>
  </si>
  <si>
    <t>набор/ химизирана €</t>
  </si>
  <si>
    <t>леп/цена €</t>
  </si>
  <si>
    <t>0,04/лист</t>
  </si>
  <si>
    <t>1,53 €/1000</t>
  </si>
  <si>
    <t>над 1000/ цвят</t>
  </si>
  <si>
    <t>КЛИЕНТ:</t>
  </si>
  <si>
    <t>ИЗДЕЛИЕ:</t>
  </si>
  <si>
    <t>ТИРАЖ:</t>
  </si>
  <si>
    <t>ДАТА:</t>
  </si>
  <si>
    <t>Довършителни работи</t>
  </si>
  <si>
    <t>ХАРТИЯ:</t>
  </si>
  <si>
    <t>ЦВЕТНОСТ:</t>
  </si>
  <si>
    <t>ЦЕНА БЕЗ ДДС:</t>
  </si>
  <si>
    <t>ОБРЪЩАНЕ:</t>
  </si>
  <si>
    <t>ОБРЯЗАН РАЗМЕР:</t>
  </si>
  <si>
    <t>цял формат</t>
  </si>
  <si>
    <t>ед. бройка:</t>
  </si>
  <si>
    <t>формат за печат:</t>
  </si>
  <si>
    <t>формат (на х-я):</t>
  </si>
  <si>
    <t>размножения:</t>
  </si>
  <si>
    <t>Химия</t>
  </si>
  <si>
    <t>гр</t>
  </si>
  <si>
    <t>ЕД. БРОЙКИ:</t>
  </si>
  <si>
    <t>полезен грайфер</t>
  </si>
  <si>
    <r>
      <t xml:space="preserve">размер в </t>
    </r>
    <r>
      <rPr>
        <b/>
        <sz val="10"/>
        <color theme="0"/>
        <rFont val="Arial"/>
        <family val="2"/>
        <charset val="204"/>
      </rPr>
      <t>мм</t>
    </r>
    <r>
      <rPr>
        <sz val="10"/>
        <color theme="0"/>
        <rFont val="Arial"/>
        <family val="2"/>
        <charset val="204"/>
      </rPr>
      <t xml:space="preserve"> с Bleed</t>
    </r>
  </si>
  <si>
    <t>ръчно</t>
  </si>
  <si>
    <t>стандарт</t>
  </si>
  <si>
    <r>
      <rPr>
        <sz val="8"/>
        <color theme="9" tint="-0.249977111117893"/>
        <rFont val="Arial"/>
        <family val="2"/>
        <charset val="204"/>
      </rPr>
      <t>ръчно</t>
    </r>
    <r>
      <rPr>
        <b/>
        <sz val="10"/>
        <color theme="9" tint="-0.249977111117893"/>
        <rFont val="Arial"/>
        <family val="2"/>
        <charset val="204"/>
      </rPr>
      <t xml:space="preserve"> ↓</t>
    </r>
  </si>
  <si>
    <r>
      <t xml:space="preserve">оптимален формат за печат </t>
    </r>
    <r>
      <rPr>
        <b/>
        <sz val="12"/>
        <color theme="1" tint="0.499984740745262"/>
        <rFont val="Arial"/>
        <family val="2"/>
        <charset val="204"/>
      </rPr>
      <t>↓</t>
    </r>
  </si>
  <si>
    <t>печат /цена</t>
  </si>
  <si>
    <t>листовка</t>
  </si>
  <si>
    <t>Мартин Ева</t>
  </si>
  <si>
    <t>ОСНОВНИ параметри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</si>
</sst>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.00\ &quot;лв.&quot;_-;\-* #,##0.00\ &quot;лв.&quot;_-;_-* &quot;-&quot;??\ &quot;лв.&quot;_-;_-@_-"/>
    <numFmt numFmtId="165" formatCode="_-* #,##0.00\ _л_в_._-;\-* #,##0.00\ _л_в_._-;_-* &quot;-&quot;??\ _л_в_._-;_-@_-"/>
    <numFmt numFmtId="166" formatCode="0.0"/>
    <numFmt numFmtId="167" formatCode="0;\-0;;@"/>
    <numFmt numFmtId="168" formatCode="0.000"/>
    <numFmt numFmtId="169" formatCode="#,##0.00\ &quot;лв.&quot;"/>
    <numFmt numFmtId="170" formatCode=";;;"/>
    <numFmt numFmtId="171" formatCode="#,##0.00\ [$€-1]"/>
    <numFmt numFmtId="172" formatCode="_-* #,##0.00\ [$€-1]_-;\-* #,##0.00\ [$€-1]_-;_-* &quot;-&quot;??\ [$€-1]_-;_-@_-"/>
    <numFmt numFmtId="173" formatCode="_-* #,##0.0000\ [$€-1]_-;\-* #,##0.0000\ [$€-1]_-;_-* &quot;-&quot;????\ [$€-1]_-;_-@_-"/>
    <numFmt numFmtId="174" formatCode="_-* #,##0.0\ [$€-1]_-;\-* #,##0.0\ [$€-1]_-;_-* &quot;-&quot;?\ [$€-1]_-;_-@_-"/>
    <numFmt numFmtId="175" formatCode="#,##0.00\ [$€-1];[Red]\-#,##0.00\ [$€-1]"/>
    <numFmt numFmtId="176" formatCode="_-[$€-2]\ * #,##0.0_-;\-[$€-2]\ * #,##0.0_-;_-[$€-2]\ * &quot;-&quot;?_-;_-@_-"/>
    <numFmt numFmtId="177" formatCode="_-* #,##0.0\ &quot;лв.&quot;_-;\-* #,##0.0\ &quot;лв.&quot;_-;_-* &quot;-&quot;?\ &quot;лв.&quot;_-;_-@_-"/>
    <numFmt numFmtId="178" formatCode="#,##0.00\ &quot;€&quot;"/>
    <numFmt numFmtId="179" formatCode="#,##0.0000\ &quot;€&quot;"/>
  </numFmts>
  <fonts count="132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color theme="6" tint="-0.499984740745262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theme="3" tint="0.39997558519241921"/>
      <name val="Calibri"/>
      <family val="2"/>
      <charset val="204"/>
      <scheme val="minor"/>
    </font>
    <font>
      <sz val="11"/>
      <color theme="7" tint="0.39997558519241921"/>
      <name val="Calibri"/>
      <family val="2"/>
      <charset val="204"/>
      <scheme val="minor"/>
    </font>
    <font>
      <sz val="9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5" tint="-0.499984740745262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sz val="10"/>
      <name val="Arial"/>
      <family val="2"/>
      <charset val="204"/>
    </font>
    <font>
      <sz val="9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0" tint="-0.14999847407452621"/>
      <name val="Arial"/>
      <family val="2"/>
      <charset val="204"/>
    </font>
    <font>
      <sz val="11"/>
      <color theme="0" tint="-0.499984740745262"/>
      <name val="Arial"/>
      <family val="2"/>
      <charset val="204"/>
    </font>
    <font>
      <sz val="10"/>
      <color theme="0" tint="-0.499984740745262"/>
      <name val="Arial"/>
      <family val="2"/>
      <charset val="204"/>
    </font>
    <font>
      <sz val="8"/>
      <color theme="0"/>
      <name val="Arial"/>
      <family val="2"/>
      <charset val="204"/>
    </font>
    <font>
      <b/>
      <sz val="10"/>
      <color theme="1" tint="0.34998626667073579"/>
      <name val="Arial"/>
      <family val="2"/>
      <charset val="204"/>
    </font>
    <font>
      <sz val="11"/>
      <color theme="6"/>
      <name val="Arial"/>
      <family val="2"/>
      <charset val="204"/>
    </font>
    <font>
      <b/>
      <sz val="8"/>
      <color theme="0"/>
      <name val="Arial"/>
      <family val="2"/>
      <charset val="204"/>
    </font>
    <font>
      <sz val="9"/>
      <color theme="0" tint="-0.499984740745262"/>
      <name val="Arial"/>
      <family val="2"/>
      <charset val="204"/>
    </font>
    <font>
      <sz val="9"/>
      <color theme="9" tint="-0.249977111117893"/>
      <name val="Arial"/>
      <family val="2"/>
      <charset val="204"/>
    </font>
    <font>
      <b/>
      <sz val="8"/>
      <color theme="9" tint="-0.249977111117893"/>
      <name val="Arial"/>
      <family val="2"/>
      <charset val="204"/>
    </font>
    <font>
      <sz val="10"/>
      <color theme="9" tint="-0.249977111117893"/>
      <name val="Arial"/>
      <family val="2"/>
      <charset val="204"/>
    </font>
    <font>
      <sz val="11"/>
      <color theme="3" tint="0.39997558519241921"/>
      <name val="Arial"/>
      <family val="2"/>
      <charset val="204"/>
    </font>
    <font>
      <sz val="11"/>
      <color theme="9" tint="-0.249977111117893"/>
      <name val="Arial"/>
      <family val="2"/>
      <charset val="204"/>
    </font>
    <font>
      <i/>
      <sz val="9"/>
      <color theme="9" tint="-0.249977111117893"/>
      <name val="Arial"/>
      <family val="2"/>
      <charset val="204"/>
    </font>
    <font>
      <sz val="8"/>
      <color theme="1" tint="0.34998626667073579"/>
      <name val="Arial"/>
      <family val="2"/>
      <charset val="204"/>
    </font>
    <font>
      <sz val="8"/>
      <color theme="1" tint="0.499984740745262"/>
      <name val="Arial"/>
      <family val="2"/>
      <charset val="204"/>
    </font>
    <font>
      <sz val="8"/>
      <color theme="9" tint="-0.249977111117893"/>
      <name val="Arial"/>
      <family val="2"/>
      <charset val="204"/>
    </font>
    <font>
      <sz val="10"/>
      <color theme="1" tint="0.249977111117893"/>
      <name val="Arial"/>
      <family val="2"/>
      <charset val="204"/>
    </font>
    <font>
      <sz val="10"/>
      <color theme="1" tint="0.34998626667073579"/>
      <name val="Arial"/>
      <family val="2"/>
      <charset val="204"/>
    </font>
    <font>
      <sz val="10"/>
      <color theme="1" tint="0.499984740745262"/>
      <name val="Arial"/>
      <family val="2"/>
      <charset val="204"/>
    </font>
    <font>
      <sz val="9"/>
      <color rgb="FFFF0000"/>
      <name val="Arial"/>
      <family val="2"/>
      <charset val="204"/>
    </font>
    <font>
      <sz val="9"/>
      <color theme="0" tint="-4.9989318521683403E-2"/>
      <name val="Arial"/>
      <family val="2"/>
      <charset val="204"/>
    </font>
    <font>
      <sz val="9"/>
      <color theme="0" tint="-0.249977111117893"/>
      <name val="Arial"/>
      <family val="2"/>
      <charset val="204"/>
    </font>
    <font>
      <sz val="9"/>
      <color theme="0" tint="-0.34998626667073579"/>
      <name val="Arial"/>
      <family val="2"/>
      <charset val="204"/>
    </font>
    <font>
      <sz val="10"/>
      <color theme="0" tint="-0.249977111117893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10"/>
      <color theme="1" tint="0.499984740745262"/>
      <name val="Arial"/>
      <family val="2"/>
      <charset val="204"/>
    </font>
    <font>
      <i/>
      <sz val="9"/>
      <color rgb="FFFF0000"/>
      <name val="Arial"/>
      <family val="2"/>
      <charset val="204"/>
    </font>
    <font>
      <sz val="8"/>
      <color theme="9" tint="-0.24994659260841701"/>
      <name val="Arial"/>
      <family val="2"/>
      <charset val="204"/>
    </font>
    <font>
      <b/>
      <sz val="10"/>
      <name val="Arial"/>
      <family val="2"/>
      <charset val="204"/>
    </font>
    <font>
      <sz val="11"/>
      <color theme="9" tint="0.59999389629810485"/>
      <name val="Arial"/>
      <family val="2"/>
      <charset val="204"/>
    </font>
    <font>
      <b/>
      <sz val="11"/>
      <color theme="9" tint="-0.249977111117893"/>
      <name val="Arial"/>
      <family val="2"/>
      <charset val="204"/>
    </font>
    <font>
      <sz val="8"/>
      <color theme="1"/>
      <name val="Arial"/>
      <family val="2"/>
      <charset val="204"/>
    </font>
    <font>
      <b/>
      <sz val="11"/>
      <color theme="9" tint="-0.499984740745262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1"/>
      <name val="Myriad Pro"/>
      <family val="2"/>
    </font>
    <font>
      <sz val="11"/>
      <name val="Arial"/>
      <family val="2"/>
      <charset val="204"/>
    </font>
    <font>
      <sz val="11"/>
      <color theme="6" tint="-0.499984740745262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9"/>
      <color theme="9" tint="-0.249977111117893"/>
      <name val="Arial"/>
      <family val="2"/>
      <charset val="204"/>
    </font>
    <font>
      <b/>
      <sz val="11"/>
      <color theme="0"/>
      <name val="Arial"/>
      <family val="2"/>
      <charset val="204"/>
    </font>
    <font>
      <b/>
      <sz val="10"/>
      <color theme="9" tint="-0.249977111117893"/>
      <name val="Arial"/>
      <family val="2"/>
      <charset val="204"/>
    </font>
    <font>
      <i/>
      <sz val="10"/>
      <color theme="9" tint="-0.249977111117893"/>
      <name val="Arial"/>
      <family val="2"/>
      <charset val="204"/>
    </font>
    <font>
      <sz val="10"/>
      <color theme="0" tint="-4.9989318521683403E-2"/>
      <name val="Arial"/>
      <family val="2"/>
      <charset val="204"/>
    </font>
    <font>
      <sz val="10"/>
      <color theme="9" tint="-0.499984740745262"/>
      <name val="Arial"/>
      <family val="2"/>
      <charset val="204"/>
    </font>
    <font>
      <i/>
      <sz val="11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b/>
      <sz val="9"/>
      <color theme="1" tint="0.14999847407452621"/>
      <name val="Arial"/>
      <family val="2"/>
      <charset val="204"/>
    </font>
    <font>
      <sz val="9"/>
      <color theme="0" tint="-0.14999847407452621"/>
      <name val="Arial"/>
      <family val="2"/>
      <charset val="204"/>
    </font>
    <font>
      <i/>
      <sz val="8"/>
      <color theme="9" tint="-0.249977111117893"/>
      <name val="Arial"/>
      <family val="2"/>
      <charset val="204"/>
    </font>
    <font>
      <b/>
      <sz val="9"/>
      <color theme="1" tint="0.34998626667073579"/>
      <name val="Arial"/>
      <family val="2"/>
      <charset val="204"/>
    </font>
    <font>
      <sz val="10"/>
      <color theme="1" tint="0.14999847407452621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8"/>
      <name val="Calibri"/>
      <family val="2"/>
      <charset val="204"/>
      <scheme val="minor"/>
    </font>
    <font>
      <b/>
      <sz val="10"/>
      <color theme="8" tint="-0.249977111117893"/>
      <name val="Arial"/>
      <family val="2"/>
      <charset val="204"/>
    </font>
    <font>
      <b/>
      <sz val="9"/>
      <color theme="1"/>
      <name val="Arial"/>
      <family val="2"/>
      <charset val="204"/>
    </font>
    <font>
      <sz val="8"/>
      <color theme="0" tint="-0.14999847407452621"/>
      <name val="Arial"/>
      <family val="2"/>
      <charset val="204"/>
    </font>
    <font>
      <sz val="11"/>
      <color theme="0" tint="-4.9989318521683403E-2"/>
      <name val="Arial"/>
      <family val="2"/>
      <charset val="204"/>
    </font>
    <font>
      <b/>
      <i/>
      <sz val="7"/>
      <color rgb="FFFF0000"/>
      <name val="Arial"/>
      <family val="2"/>
      <charset val="204"/>
    </font>
    <font>
      <b/>
      <sz val="10"/>
      <color theme="0" tint="-4.9989318521683403E-2"/>
      <name val="Arial"/>
      <family val="2"/>
      <charset val="204"/>
    </font>
    <font>
      <sz val="10"/>
      <color theme="9"/>
      <name val="Arial"/>
      <family val="2"/>
      <charset val="204"/>
    </font>
    <font>
      <sz val="10"/>
      <color rgb="FFFFC000"/>
      <name val="Arial"/>
      <family val="2"/>
      <charset val="204"/>
    </font>
    <font>
      <sz val="11"/>
      <color rgb="FF00B0F0"/>
      <name val="Calibri"/>
      <family val="2"/>
      <charset val="204"/>
      <scheme val="minor"/>
    </font>
    <font>
      <sz val="9"/>
      <color indexed="81"/>
      <name val="Segoe UI"/>
      <family val="2"/>
      <charset val="204"/>
    </font>
    <font>
      <b/>
      <sz val="9"/>
      <color indexed="81"/>
      <name val="Segoe UI"/>
      <family val="2"/>
      <charset val="204"/>
    </font>
    <font>
      <sz val="10"/>
      <color theme="9" tint="0.79998168889431442"/>
      <name val="Arial"/>
      <family val="2"/>
      <charset val="204"/>
    </font>
    <font>
      <sz val="10"/>
      <color theme="9" tint="0.39997558519241921"/>
      <name val="Arial"/>
      <family val="2"/>
      <charset val="204"/>
    </font>
    <font>
      <b/>
      <sz val="10"/>
      <color theme="9" tint="-0.499984740745262"/>
      <name val="Arial"/>
      <family val="2"/>
      <charset val="204"/>
    </font>
    <font>
      <sz val="9"/>
      <color theme="9" tint="0.39997558519241921"/>
      <name val="Arial"/>
      <family val="2"/>
      <charset val="204"/>
    </font>
    <font>
      <sz val="11"/>
      <color theme="1"/>
      <name val="AvantiB"/>
      <family val="2"/>
    </font>
    <font>
      <sz val="8"/>
      <color theme="1"/>
      <name val="AvantiB"/>
      <family val="2"/>
    </font>
    <font>
      <i/>
      <sz val="7"/>
      <name val="Arial"/>
      <family val="2"/>
      <charset val="204"/>
    </font>
    <font>
      <sz val="9"/>
      <color theme="9" tint="-0.24994659260841701"/>
      <name val="Arial"/>
      <family val="2"/>
      <charset val="204"/>
    </font>
    <font>
      <sz val="9"/>
      <color theme="1" tint="0.499984740745262"/>
      <name val="Arial"/>
      <family val="2"/>
      <charset val="204"/>
    </font>
    <font>
      <i/>
      <sz val="10"/>
      <color theme="1" tint="0.499984740745262"/>
      <name val="Arial"/>
      <family val="2"/>
      <charset val="204"/>
    </font>
    <font>
      <b/>
      <sz val="10"/>
      <color theme="1" tint="0.14999847407452621"/>
      <name val="Arial"/>
      <family val="2"/>
      <charset val="204"/>
    </font>
    <font>
      <sz val="9"/>
      <color theme="9" tint="0.79998168889431442"/>
      <name val="Arial"/>
      <family val="2"/>
      <charset val="204"/>
    </font>
    <font>
      <sz val="8"/>
      <color theme="1" tint="0.24997711111789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9" tint="-0.499984740745262"/>
      <name val="Arial"/>
      <family val="2"/>
      <charset val="204"/>
    </font>
    <font>
      <b/>
      <sz val="11"/>
      <name val="Arial"/>
      <family val="2"/>
      <charset val="204"/>
    </font>
    <font>
      <sz val="8"/>
      <color theme="0" tint="-4.9989318521683403E-2"/>
      <name val="Arial"/>
      <family val="2"/>
      <charset val="204"/>
    </font>
    <font>
      <i/>
      <sz val="8"/>
      <color theme="0"/>
      <name val="Arial"/>
      <family val="2"/>
      <charset val="204"/>
    </font>
    <font>
      <i/>
      <sz val="9"/>
      <color theme="1" tint="0.499984740745262"/>
      <name val="Arial"/>
      <family val="2"/>
      <charset val="204"/>
    </font>
    <font>
      <i/>
      <sz val="11"/>
      <color theme="1" tint="0.499984740745262"/>
      <name val="Arial"/>
      <family val="2"/>
      <charset val="204"/>
    </font>
    <font>
      <sz val="11"/>
      <color theme="0" tint="-0.14999847407452621"/>
      <name val="Arial"/>
      <family val="2"/>
      <charset val="204"/>
    </font>
    <font>
      <b/>
      <sz val="11"/>
      <color theme="0" tint="-4.9989318521683403E-2"/>
      <name val="Arial"/>
      <family val="2"/>
      <charset val="204"/>
    </font>
    <font>
      <sz val="11"/>
      <color theme="1" tint="0.249977111117893"/>
      <name val="Arial"/>
      <family val="2"/>
      <charset val="204"/>
    </font>
    <font>
      <sz val="11"/>
      <color theme="8" tint="0.59999389629810485"/>
      <name val="Arial"/>
      <family val="2"/>
      <charset val="204"/>
    </font>
    <font>
      <b/>
      <i/>
      <sz val="10"/>
      <color theme="9" tint="-0.249977111117893"/>
      <name val="Arial"/>
      <family val="2"/>
      <charset val="204"/>
    </font>
    <font>
      <b/>
      <i/>
      <sz val="10"/>
      <color theme="0"/>
      <name val="Arial"/>
      <family val="2"/>
      <charset val="204"/>
    </font>
    <font>
      <b/>
      <sz val="11"/>
      <color rgb="FF0070C0"/>
      <name val="Arial"/>
      <family val="2"/>
      <charset val="204"/>
    </font>
    <font>
      <sz val="11"/>
      <color theme="0" tint="-0.499984740745262"/>
      <name val="Bahnschrift Light SemiCondensed"/>
      <family val="2"/>
      <charset val="204"/>
    </font>
    <font>
      <b/>
      <sz val="12"/>
      <color theme="1" tint="0.499984740745262"/>
      <name val="Arial"/>
      <family val="2"/>
      <charset val="204"/>
    </font>
    <font>
      <i/>
      <sz val="8"/>
      <color theme="9" tint="-0.499984740745262"/>
      <name val="Arial"/>
      <family val="2"/>
      <charset val="204"/>
    </font>
    <font>
      <sz val="7"/>
      <color theme="9" tint="-0.499984740745262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3" tint="0.7999816888943144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-0.24994659260841701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3" tint="0.7999816888943144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9" tint="-0.24994659260841701"/>
      </left>
      <right style="thin">
        <color theme="9"/>
      </right>
      <top style="thin">
        <color theme="9"/>
      </top>
      <bottom/>
      <diagonal/>
    </border>
    <border>
      <left style="thin">
        <color theme="9" tint="-0.24994659260841701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9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9" tint="-0.24994659260841701"/>
      </right>
      <top/>
      <bottom style="thin">
        <color theme="1" tint="0.49998474074526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1" tint="0.499984740745262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0" tint="-0.499984740745262"/>
      </left>
      <right style="thin">
        <color theme="9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9"/>
      </right>
      <top/>
      <bottom/>
      <diagonal/>
    </border>
    <border>
      <left style="thin">
        <color theme="0" tint="-0.499984740745262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0" tint="-0.499984740745262"/>
      </left>
      <right style="thin">
        <color theme="9" tint="-0.24994659260841701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/>
      <right style="thin">
        <color theme="9" tint="0.59996337778862885"/>
      </right>
      <top style="thin">
        <color theme="9" tint="0.39997558519241921"/>
      </top>
      <bottom style="thin">
        <color theme="9" tint="0.39994506668294322"/>
      </bottom>
      <diagonal/>
    </border>
    <border>
      <left/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0.59996337778862885"/>
      </top>
      <bottom style="thin">
        <color theme="9" tint="0.59996337778862885"/>
      </bottom>
      <diagonal/>
    </border>
    <border>
      <left/>
      <right style="thin">
        <color theme="3" tint="0.39994506668294322"/>
      </right>
      <top/>
      <bottom/>
      <diagonal/>
    </border>
    <border>
      <left style="thin">
        <color theme="9" tint="-0.24994659260841701"/>
      </left>
      <right style="thin">
        <color theme="3" tint="0.39994506668294322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3" tint="0.39994506668294322"/>
      </top>
      <bottom style="thin">
        <color theme="9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6">
    <xf numFmtId="0" fontId="0" fillId="0" borderId="0"/>
    <xf numFmtId="165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4" fontId="23" fillId="0" borderId="0" applyFont="0" applyFill="0" applyBorder="0" applyAlignment="0" applyProtection="0"/>
  </cellStyleXfs>
  <cellXfs count="349">
    <xf numFmtId="0" fontId="0" fillId="0" borderId="0" xfId="0"/>
    <xf numFmtId="0" fontId="15" fillId="0" borderId="0" xfId="0" applyFont="1"/>
    <xf numFmtId="1" fontId="0" fillId="0" borderId="0" xfId="0" applyNumberFormat="1"/>
    <xf numFmtId="0" fontId="24" fillId="0" borderId="0" xfId="2"/>
    <xf numFmtId="0" fontId="0" fillId="0" borderId="0" xfId="0" applyAlignment="1">
      <alignment vertical="center"/>
    </xf>
    <xf numFmtId="0" fontId="2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vertical="center" textRotation="45"/>
    </xf>
    <xf numFmtId="0" fontId="14" fillId="0" borderId="0" xfId="0" applyFont="1" applyAlignment="1">
      <alignment textRotation="45"/>
    </xf>
    <xf numFmtId="0" fontId="18" fillId="0" borderId="0" xfId="0" applyFont="1" applyAlignment="1">
      <alignment textRotation="45"/>
    </xf>
    <xf numFmtId="0" fontId="0" fillId="0" borderId="0" xfId="0" applyAlignment="1">
      <alignment textRotation="45"/>
    </xf>
    <xf numFmtId="0" fontId="28" fillId="0" borderId="0" xfId="0" applyFont="1"/>
    <xf numFmtId="0" fontId="27" fillId="0" borderId="0" xfId="0" applyFont="1"/>
    <xf numFmtId="0" fontId="29" fillId="5" borderId="0" xfId="0" applyFont="1" applyFill="1" applyAlignment="1">
      <alignment horizontal="center" vertical="center" wrapText="1"/>
    </xf>
    <xf numFmtId="0" fontId="38" fillId="0" borderId="0" xfId="0" applyFont="1" applyAlignment="1">
      <alignment horizontal="right"/>
    </xf>
    <xf numFmtId="0" fontId="39" fillId="0" borderId="0" xfId="0" applyFont="1" applyProtection="1">
      <protection hidden="1"/>
    </xf>
    <xf numFmtId="0" fontId="31" fillId="0" borderId="24" xfId="0" applyFont="1" applyBorder="1"/>
    <xf numFmtId="0" fontId="45" fillId="0" borderId="0" xfId="0" applyFont="1" applyProtection="1">
      <protection hidden="1"/>
    </xf>
    <xf numFmtId="0" fontId="30" fillId="0" borderId="0" xfId="0" applyFont="1"/>
    <xf numFmtId="0" fontId="47" fillId="0" borderId="0" xfId="0" applyFont="1" applyProtection="1">
      <protection hidden="1"/>
    </xf>
    <xf numFmtId="0" fontId="48" fillId="0" borderId="0" xfId="0" applyFont="1" applyAlignment="1">
      <alignment horizontal="right"/>
    </xf>
    <xf numFmtId="0" fontId="49" fillId="0" borderId="0" xfId="0" applyFont="1" applyAlignment="1">
      <alignment horizontal="right"/>
    </xf>
    <xf numFmtId="2" fontId="31" fillId="5" borderId="14" xfId="0" applyNumberFormat="1" applyFont="1" applyFill="1" applyBorder="1"/>
    <xf numFmtId="2" fontId="31" fillId="0" borderId="15" xfId="0" applyNumberFormat="1" applyFont="1" applyBorder="1"/>
    <xf numFmtId="168" fontId="54" fillId="3" borderId="18" xfId="0" applyNumberFormat="1" applyFont="1" applyFill="1" applyBorder="1" applyProtection="1">
      <protection locked="0"/>
    </xf>
    <xf numFmtId="0" fontId="28" fillId="13" borderId="19" xfId="0" applyFont="1" applyFill="1" applyBorder="1"/>
    <xf numFmtId="0" fontId="55" fillId="0" borderId="0" xfId="0" applyFont="1"/>
    <xf numFmtId="0" fontId="44" fillId="3" borderId="17" xfId="0" applyFont="1" applyFill="1" applyBorder="1" applyAlignment="1" applyProtection="1">
      <alignment horizontal="right"/>
      <protection locked="0"/>
    </xf>
    <xf numFmtId="0" fontId="33" fillId="8" borderId="12" xfId="0" applyFont="1" applyFill="1" applyBorder="1" applyAlignment="1">
      <alignment horizontal="left"/>
    </xf>
    <xf numFmtId="0" fontId="50" fillId="3" borderId="23" xfId="0" applyFont="1" applyFill="1" applyBorder="1" applyAlignment="1" applyProtection="1">
      <alignment horizontal="right"/>
      <protection locked="0"/>
    </xf>
    <xf numFmtId="0" fontId="50" fillId="3" borderId="3" xfId="0" applyFont="1" applyFill="1" applyBorder="1" applyAlignment="1" applyProtection="1">
      <alignment horizontal="right" vertical="center"/>
      <protection locked="0"/>
    </xf>
    <xf numFmtId="0" fontId="34" fillId="0" borderId="0" xfId="0" applyFont="1"/>
    <xf numFmtId="2" fontId="38" fillId="0" borderId="0" xfId="0" applyNumberFormat="1" applyFont="1" applyAlignment="1">
      <alignment horizontal="right"/>
    </xf>
    <xf numFmtId="0" fontId="52" fillId="0" borderId="0" xfId="0" applyFont="1" applyAlignment="1">
      <alignment horizontal="right"/>
    </xf>
    <xf numFmtId="0" fontId="70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50" fillId="3" borderId="3" xfId="0" applyFont="1" applyFill="1" applyBorder="1" applyProtection="1">
      <protection locked="0"/>
    </xf>
    <xf numFmtId="0" fontId="62" fillId="3" borderId="3" xfId="0" applyFont="1" applyFill="1" applyBorder="1" applyAlignment="1" applyProtection="1">
      <alignment horizontal="right"/>
      <protection locked="0"/>
    </xf>
    <xf numFmtId="0" fontId="50" fillId="3" borderId="4" xfId="0" applyFont="1" applyFill="1" applyBorder="1" applyAlignment="1" applyProtection="1">
      <alignment horizontal="right" vertical="center" wrapText="1"/>
      <protection locked="0"/>
    </xf>
    <xf numFmtId="49" fontId="43" fillId="3" borderId="3" xfId="0" applyNumberFormat="1" applyFont="1" applyFill="1" applyBorder="1" applyAlignment="1" applyProtection="1">
      <alignment horizontal="right" vertical="center"/>
      <protection locked="0"/>
    </xf>
    <xf numFmtId="49" fontId="44" fillId="3" borderId="16" xfId="0" applyNumberFormat="1" applyFont="1" applyFill="1" applyBorder="1" applyAlignment="1" applyProtection="1">
      <alignment horizontal="center"/>
      <protection locked="0"/>
    </xf>
    <xf numFmtId="0" fontId="46" fillId="0" borderId="0" xfId="0" applyFont="1" applyProtection="1">
      <protection locked="0"/>
    </xf>
    <xf numFmtId="2" fontId="61" fillId="3" borderId="2" xfId="0" applyNumberFormat="1" applyFont="1" applyFill="1" applyBorder="1" applyAlignment="1" applyProtection="1">
      <alignment horizontal="center"/>
      <protection locked="0"/>
    </xf>
    <xf numFmtId="0" fontId="50" fillId="3" borderId="3" xfId="0" applyFont="1" applyFill="1" applyBorder="1" applyAlignment="1" applyProtection="1">
      <alignment horizontal="right"/>
      <protection locked="0"/>
    </xf>
    <xf numFmtId="0" fontId="44" fillId="3" borderId="6" xfId="0" applyFont="1" applyFill="1" applyBorder="1" applyProtection="1">
      <protection locked="0"/>
    </xf>
    <xf numFmtId="0" fontId="44" fillId="3" borderId="3" xfId="0" applyFont="1" applyFill="1" applyBorder="1" applyProtection="1">
      <protection locked="0"/>
    </xf>
    <xf numFmtId="0" fontId="46" fillId="0" borderId="0" xfId="0" applyFont="1"/>
    <xf numFmtId="0" fontId="10" fillId="0" borderId="0" xfId="0" applyFont="1" applyAlignment="1">
      <alignment vertical="center"/>
    </xf>
    <xf numFmtId="0" fontId="79" fillId="0" borderId="0" xfId="0" applyFont="1" applyAlignment="1">
      <alignment horizontal="right" vertical="center"/>
    </xf>
    <xf numFmtId="0" fontId="33" fillId="12" borderId="0" xfId="0" applyFont="1" applyFill="1" applyAlignment="1">
      <alignment horizontal="right" vertical="center"/>
    </xf>
    <xf numFmtId="0" fontId="69" fillId="3" borderId="0" xfId="0" applyFont="1" applyFill="1" applyAlignment="1">
      <alignment horizontal="left" vertical="center"/>
    </xf>
    <xf numFmtId="0" fontId="33" fillId="12" borderId="0" xfId="0" applyFont="1" applyFill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49" fontId="33" fillId="12" borderId="30" xfId="0" applyNumberFormat="1" applyFont="1" applyFill="1" applyBorder="1" applyAlignment="1">
      <alignment horizontal="right" vertical="center"/>
    </xf>
    <xf numFmtId="0" fontId="44" fillId="0" borderId="3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33" fillId="12" borderId="30" xfId="0" quotePrefix="1" applyNumberFormat="1" applyFont="1" applyFill="1" applyBorder="1" applyAlignment="1">
      <alignment horizontal="right" vertical="center"/>
    </xf>
    <xf numFmtId="0" fontId="44" fillId="0" borderId="0" xfId="0" applyFont="1" applyAlignment="1">
      <alignment horizontal="left" vertical="center"/>
    </xf>
    <xf numFmtId="0" fontId="79" fillId="14" borderId="22" xfId="0" applyFont="1" applyFill="1" applyBorder="1" applyAlignment="1">
      <alignment horizontal="right" vertical="center"/>
    </xf>
    <xf numFmtId="49" fontId="33" fillId="12" borderId="22" xfId="0" applyNumberFormat="1" applyFont="1" applyFill="1" applyBorder="1" applyAlignment="1">
      <alignment horizontal="right" vertical="center"/>
    </xf>
    <xf numFmtId="0" fontId="44" fillId="0" borderId="22" xfId="0" applyFont="1" applyBorder="1" applyAlignment="1">
      <alignment horizontal="left" vertical="center"/>
    </xf>
    <xf numFmtId="0" fontId="44" fillId="3" borderId="22" xfId="0" applyFont="1" applyFill="1" applyBorder="1" applyAlignment="1">
      <alignment horizontal="left" vertical="center"/>
    </xf>
    <xf numFmtId="0" fontId="44" fillId="14" borderId="22" xfId="0" applyFont="1" applyFill="1" applyBorder="1" applyAlignment="1">
      <alignment horizontal="left" vertical="center"/>
    </xf>
    <xf numFmtId="0" fontId="10" fillId="12" borderId="0" xfId="0" applyFont="1" applyFill="1" applyAlignment="1">
      <alignment horizontal="right" vertical="center"/>
    </xf>
    <xf numFmtId="0" fontId="69" fillId="0" borderId="0" xfId="0" applyFont="1" applyAlignment="1">
      <alignment horizontal="left" vertical="center"/>
    </xf>
    <xf numFmtId="0" fontId="69" fillId="12" borderId="0" xfId="0" applyFont="1" applyFill="1" applyAlignment="1">
      <alignment horizontal="right" vertical="center"/>
    </xf>
    <xf numFmtId="0" fontId="44" fillId="15" borderId="0" xfId="0" applyFont="1" applyFill="1" applyAlignment="1">
      <alignment horizontal="left" vertical="center"/>
    </xf>
    <xf numFmtId="0" fontId="69" fillId="0" borderId="0" xfId="0" applyFont="1" applyAlignment="1">
      <alignment horizontal="right" vertical="center"/>
    </xf>
    <xf numFmtId="0" fontId="10" fillId="0" borderId="5" xfId="0" applyFont="1" applyBorder="1" applyAlignment="1">
      <alignment vertical="center"/>
    </xf>
    <xf numFmtId="0" fontId="10" fillId="0" borderId="27" xfId="0" applyFont="1" applyBorder="1" applyAlignment="1">
      <alignment horizontal="right" vertical="center"/>
    </xf>
    <xf numFmtId="0" fontId="10" fillId="0" borderId="28" xfId="0" applyFont="1" applyBorder="1" applyAlignment="1">
      <alignment vertical="center"/>
    </xf>
    <xf numFmtId="0" fontId="66" fillId="12" borderId="0" xfId="0" applyFont="1" applyFill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6" borderId="0" xfId="0" applyFont="1" applyFill="1" applyAlignment="1">
      <alignment horizontal="center" vertical="center" wrapText="1"/>
    </xf>
    <xf numFmtId="0" fontId="37" fillId="12" borderId="0" xfId="0" applyFont="1" applyFill="1" applyAlignment="1">
      <alignment horizontal="center" vertical="center" wrapText="1"/>
    </xf>
    <xf numFmtId="0" fontId="66" fillId="0" borderId="0" xfId="0" applyFont="1" applyAlignment="1">
      <alignment vertical="center"/>
    </xf>
    <xf numFmtId="0" fontId="40" fillId="12" borderId="29" xfId="0" applyFont="1" applyFill="1" applyBorder="1" applyAlignment="1">
      <alignment horizontal="center" vertical="center" wrapText="1"/>
    </xf>
    <xf numFmtId="0" fontId="78" fillId="2" borderId="0" xfId="0" applyFont="1" applyFill="1"/>
    <xf numFmtId="0" fontId="78" fillId="0" borderId="0" xfId="0" applyFont="1" applyAlignment="1">
      <alignment horizontal="right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166" fontId="44" fillId="3" borderId="3" xfId="0" applyNumberFormat="1" applyFont="1" applyFill="1" applyBorder="1" applyProtection="1">
      <protection locked="0"/>
    </xf>
    <xf numFmtId="166" fontId="41" fillId="0" borderId="0" xfId="0" applyNumberFormat="1" applyFont="1"/>
    <xf numFmtId="2" fontId="41" fillId="0" borderId="0" xfId="0" applyNumberFormat="1" applyFont="1"/>
    <xf numFmtId="0" fontId="32" fillId="0" borderId="0" xfId="0" applyFont="1" applyProtection="1">
      <protection hidden="1"/>
    </xf>
    <xf numFmtId="0" fontId="50" fillId="3" borderId="38" xfId="0" applyFont="1" applyFill="1" applyBorder="1" applyAlignment="1" applyProtection="1">
      <alignment horizontal="right" vertical="center"/>
      <protection locked="0"/>
    </xf>
    <xf numFmtId="166" fontId="44" fillId="3" borderId="39" xfId="0" applyNumberFormat="1" applyFont="1" applyFill="1" applyBorder="1" applyProtection="1">
      <protection locked="0"/>
    </xf>
    <xf numFmtId="0" fontId="9" fillId="0" borderId="0" xfId="0" applyFont="1"/>
    <xf numFmtId="0" fontId="59" fillId="8" borderId="0" xfId="0" applyFont="1" applyFill="1" applyAlignment="1">
      <alignment horizontal="right" vertical="center"/>
    </xf>
    <xf numFmtId="0" fontId="33" fillId="8" borderId="0" xfId="0" applyFont="1" applyFill="1" applyAlignment="1">
      <alignment horizontal="right" vertical="center"/>
    </xf>
    <xf numFmtId="0" fontId="33" fillId="11" borderId="0" xfId="0" applyFont="1" applyFill="1" applyAlignment="1">
      <alignment vertical="center"/>
    </xf>
    <xf numFmtId="0" fontId="33" fillId="11" borderId="0" xfId="0" applyFont="1" applyFill="1" applyAlignment="1">
      <alignment horizontal="center" vertical="center"/>
    </xf>
    <xf numFmtId="0" fontId="33" fillId="8" borderId="0" xfId="0" applyFont="1" applyFill="1" applyAlignment="1">
      <alignment vertical="center"/>
    </xf>
    <xf numFmtId="0" fontId="44" fillId="0" borderId="0" xfId="0" applyFont="1" applyAlignment="1">
      <alignment vertical="center"/>
    </xf>
    <xf numFmtId="0" fontId="38" fillId="0" borderId="0" xfId="0" applyFont="1" applyAlignment="1">
      <alignment horizontal="right" vertical="center"/>
    </xf>
    <xf numFmtId="0" fontId="30" fillId="8" borderId="0" xfId="0" applyFont="1" applyFill="1" applyAlignment="1">
      <alignment vertical="center"/>
    </xf>
    <xf numFmtId="0" fontId="46" fillId="0" borderId="0" xfId="0" applyFont="1" applyAlignment="1">
      <alignment horizontal="center" vertical="center"/>
    </xf>
    <xf numFmtId="0" fontId="85" fillId="0" borderId="0" xfId="0" applyFont="1" applyAlignment="1">
      <alignment horizontal="right" vertical="center"/>
    </xf>
    <xf numFmtId="0" fontId="32" fillId="8" borderId="0" xfId="0" applyFont="1" applyFill="1" applyAlignment="1">
      <alignment horizontal="right" vertical="center"/>
    </xf>
    <xf numFmtId="0" fontId="46" fillId="0" borderId="0" xfId="0" applyFont="1" applyAlignment="1">
      <alignment vertical="center"/>
    </xf>
    <xf numFmtId="0" fontId="52" fillId="0" borderId="3" xfId="0" applyFont="1" applyBorder="1"/>
    <xf numFmtId="0" fontId="44" fillId="15" borderId="11" xfId="0" applyFont="1" applyFill="1" applyBorder="1" applyProtection="1">
      <protection locked="0"/>
    </xf>
    <xf numFmtId="0" fontId="86" fillId="0" borderId="0" xfId="0" applyFont="1" applyAlignment="1">
      <alignment horizontal="right" vertical="center"/>
    </xf>
    <xf numFmtId="0" fontId="42" fillId="0" borderId="0" xfId="0" applyFont="1" applyAlignment="1">
      <alignment horizontal="right" vertic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41" fillId="0" borderId="0" xfId="0" applyFont="1" applyProtection="1">
      <protection hidden="1"/>
    </xf>
    <xf numFmtId="3" fontId="0" fillId="0" borderId="0" xfId="0" applyNumberFormat="1"/>
    <xf numFmtId="0" fontId="22" fillId="0" borderId="0" xfId="0" applyFont="1" applyAlignment="1">
      <alignment vertical="center"/>
    </xf>
    <xf numFmtId="0" fontId="14" fillId="0" borderId="0" xfId="0" applyFont="1"/>
    <xf numFmtId="0" fontId="9" fillId="0" borderId="0" xfId="0" applyFont="1" applyAlignment="1">
      <alignment vertical="center"/>
    </xf>
    <xf numFmtId="1" fontId="53" fillId="5" borderId="36" xfId="0" applyNumberFormat="1" applyFont="1" applyFill="1" applyBorder="1"/>
    <xf numFmtId="1" fontId="51" fillId="0" borderId="40" xfId="0" applyNumberFormat="1" applyFont="1" applyBorder="1" applyAlignment="1">
      <alignment vertical="center"/>
    </xf>
    <xf numFmtId="0" fontId="58" fillId="4" borderId="0" xfId="0" applyFont="1" applyFill="1"/>
    <xf numFmtId="0" fontId="55" fillId="0" borderId="0" xfId="0" applyFont="1" applyProtection="1">
      <protection hidden="1"/>
    </xf>
    <xf numFmtId="170" fontId="83" fillId="0" borderId="0" xfId="0" applyNumberFormat="1" applyFont="1" applyProtection="1">
      <protection hidden="1"/>
    </xf>
    <xf numFmtId="170" fontId="41" fillId="0" borderId="0" xfId="0" applyNumberFormat="1" applyFont="1" applyProtection="1">
      <protection hidden="1"/>
    </xf>
    <xf numFmtId="170" fontId="56" fillId="0" borderId="0" xfId="0" applyNumberFormat="1" applyFont="1" applyAlignment="1" applyProtection="1">
      <alignment horizontal="right"/>
      <protection hidden="1"/>
    </xf>
    <xf numFmtId="170" fontId="55" fillId="0" borderId="0" xfId="0" applyNumberFormat="1" applyFont="1" applyProtection="1">
      <protection hidden="1"/>
    </xf>
    <xf numFmtId="170" fontId="41" fillId="0" borderId="0" xfId="0" applyNumberFormat="1" applyFont="1"/>
    <xf numFmtId="0" fontId="92" fillId="0" borderId="0" xfId="0" applyFont="1" applyAlignment="1">
      <alignment horizontal="center"/>
    </xf>
    <xf numFmtId="0" fontId="93" fillId="0" borderId="0" xfId="0" applyFont="1" applyProtection="1">
      <protection hidden="1"/>
    </xf>
    <xf numFmtId="0" fontId="84" fillId="15" borderId="3" xfId="0" applyFont="1" applyFill="1" applyBorder="1" applyAlignment="1" applyProtection="1">
      <alignment horizontal="center" vertical="center"/>
      <protection locked="0"/>
    </xf>
    <xf numFmtId="49" fontId="94" fillId="0" borderId="44" xfId="0" applyNumberFormat="1" applyFont="1" applyBorder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36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75" fillId="16" borderId="0" xfId="0" applyFont="1" applyFill="1" applyAlignment="1">
      <alignment horizont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horizontal="right" vertical="center"/>
    </xf>
    <xf numFmtId="0" fontId="44" fillId="3" borderId="11" xfId="0" applyFont="1" applyFill="1" applyBorder="1" applyAlignment="1">
      <alignment horizontal="center" vertical="center"/>
    </xf>
    <xf numFmtId="0" fontId="31" fillId="0" borderId="10" xfId="0" applyFont="1" applyBorder="1" applyAlignment="1">
      <alignment horizontal="right" vertical="center"/>
    </xf>
    <xf numFmtId="0" fontId="31" fillId="0" borderId="47" xfId="0" applyFont="1" applyBorder="1" applyAlignment="1">
      <alignment horizontal="right" vertical="center"/>
    </xf>
    <xf numFmtId="0" fontId="33" fillId="11" borderId="47" xfId="0" applyFont="1" applyFill="1" applyBorder="1" applyAlignment="1">
      <alignment horizontal="right" vertical="center"/>
    </xf>
    <xf numFmtId="49" fontId="76" fillId="15" borderId="2" xfId="0" applyNumberFormat="1" applyFont="1" applyFill="1" applyBorder="1" applyAlignment="1" applyProtection="1">
      <alignment horizontal="left"/>
      <protection locked="0"/>
    </xf>
    <xf numFmtId="3" fontId="44" fillId="3" borderId="11" xfId="0" applyNumberFormat="1" applyFont="1" applyFill="1" applyBorder="1" applyAlignment="1" applyProtection="1">
      <alignment horizontal="right"/>
      <protection locked="0"/>
    </xf>
    <xf numFmtId="0" fontId="96" fillId="0" borderId="0" xfId="0" applyFont="1" applyAlignment="1">
      <alignment vertical="center"/>
    </xf>
    <xf numFmtId="0" fontId="34" fillId="0" borderId="0" xfId="0" applyFont="1" applyProtection="1">
      <protection hidden="1"/>
    </xf>
    <xf numFmtId="0" fontId="9" fillId="3" borderId="0" xfId="0" applyFont="1" applyFill="1" applyAlignment="1">
      <alignment horizontal="center" vertical="center"/>
    </xf>
    <xf numFmtId="49" fontId="97" fillId="0" borderId="0" xfId="0" applyNumberFormat="1" applyFont="1" applyAlignment="1">
      <alignment horizontal="right" vertical="center"/>
    </xf>
    <xf numFmtId="49" fontId="97" fillId="0" borderId="0" xfId="0" quotePrefix="1" applyNumberFormat="1" applyFont="1" applyAlignment="1">
      <alignment horizontal="right"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3" fontId="90" fillId="2" borderId="9" xfId="0" applyNumberFormat="1" applyFont="1" applyFill="1" applyBorder="1" applyAlignment="1">
      <alignment horizontal="left"/>
    </xf>
    <xf numFmtId="0" fontId="42" fillId="3" borderId="3" xfId="0" applyFont="1" applyFill="1" applyBorder="1" applyAlignment="1" applyProtection="1">
      <alignment horizontal="right" vertical="center"/>
      <protection locked="0"/>
    </xf>
    <xf numFmtId="1" fontId="86" fillId="5" borderId="0" xfId="0" applyNumberFormat="1" applyFont="1" applyFill="1" applyAlignment="1">
      <alignment horizontal="left" vertical="center"/>
    </xf>
    <xf numFmtId="0" fontId="28" fillId="0" borderId="0" xfId="0" applyFont="1" applyProtection="1">
      <protection hidden="1"/>
    </xf>
    <xf numFmtId="0" fontId="8" fillId="0" borderId="0" xfId="0" applyFont="1"/>
    <xf numFmtId="0" fontId="9" fillId="0" borderId="0" xfId="0" applyFont="1" applyAlignment="1">
      <alignment horizontal="center"/>
    </xf>
    <xf numFmtId="0" fontId="101" fillId="0" borderId="0" xfId="0" applyFont="1"/>
    <xf numFmtId="1" fontId="9" fillId="5" borderId="41" xfId="0" applyNumberFormat="1" applyFont="1" applyFill="1" applyBorder="1"/>
    <xf numFmtId="167" fontId="55" fillId="0" borderId="0" xfId="0" applyNumberFormat="1" applyFont="1" applyAlignment="1" applyProtection="1">
      <alignment horizontal="right"/>
      <protection hidden="1"/>
    </xf>
    <xf numFmtId="0" fontId="44" fillId="0" borderId="49" xfId="0" applyFont="1" applyBorder="1" applyAlignment="1">
      <alignment horizontal="left" vertical="center"/>
    </xf>
    <xf numFmtId="0" fontId="44" fillId="3" borderId="49" xfId="0" applyFont="1" applyFill="1" applyBorder="1" applyAlignment="1">
      <alignment horizontal="left" vertical="center"/>
    </xf>
    <xf numFmtId="0" fontId="44" fillId="15" borderId="49" xfId="0" applyFont="1" applyFill="1" applyBorder="1" applyAlignment="1">
      <alignment horizontal="left" vertical="center"/>
    </xf>
    <xf numFmtId="1" fontId="44" fillId="14" borderId="49" xfId="1" applyNumberFormat="1" applyFont="1" applyFill="1" applyBorder="1" applyAlignment="1">
      <alignment horizontal="left" vertical="center"/>
    </xf>
    <xf numFmtId="1" fontId="44" fillId="3" borderId="49" xfId="1" applyNumberFormat="1" applyFont="1" applyFill="1" applyBorder="1" applyAlignment="1">
      <alignment horizontal="left" vertical="center"/>
    </xf>
    <xf numFmtId="0" fontId="44" fillId="14" borderId="22" xfId="1" applyNumberFormat="1" applyFont="1" applyFill="1" applyBorder="1" applyAlignment="1">
      <alignment horizontal="left" vertical="center"/>
    </xf>
    <xf numFmtId="0" fontId="44" fillId="3" borderId="50" xfId="1" applyNumberFormat="1" applyFont="1" applyFill="1" applyBorder="1" applyAlignment="1">
      <alignment horizontal="left" vertical="center"/>
    </xf>
    <xf numFmtId="0" fontId="40" fillId="12" borderId="0" xfId="0" applyFont="1" applyFill="1" applyAlignment="1">
      <alignment horizontal="center" vertical="top" wrapText="1"/>
    </xf>
    <xf numFmtId="0" fontId="40" fillId="12" borderId="29" xfId="0" applyFont="1" applyFill="1" applyBorder="1" applyAlignment="1">
      <alignment horizontal="center" vertical="top" wrapText="1"/>
    </xf>
    <xf numFmtId="0" fontId="40" fillId="17" borderId="29" xfId="0" applyFont="1" applyFill="1" applyBorder="1" applyAlignment="1">
      <alignment horizontal="center" vertical="top" wrapText="1"/>
    </xf>
    <xf numFmtId="0" fontId="41" fillId="0" borderId="14" xfId="0" applyFont="1" applyBorder="1"/>
    <xf numFmtId="0" fontId="92" fillId="0" borderId="0" xfId="0" applyFont="1" applyAlignment="1">
      <alignment horizontal="right"/>
    </xf>
    <xf numFmtId="2" fontId="102" fillId="0" borderId="51" xfId="0" applyNumberFormat="1" applyFont="1" applyBorder="1" applyAlignment="1" applyProtection="1">
      <alignment horizontal="center"/>
      <protection locked="0"/>
    </xf>
    <xf numFmtId="1" fontId="104" fillId="12" borderId="52" xfId="0" applyNumberFormat="1" applyFont="1" applyFill="1" applyBorder="1" applyAlignment="1" applyProtection="1">
      <alignment horizontal="center"/>
      <protection locked="0" hidden="1"/>
    </xf>
    <xf numFmtId="0" fontId="106" fillId="0" borderId="19" xfId="0" applyFont="1" applyBorder="1" applyAlignment="1">
      <alignment vertical="center"/>
    </xf>
    <xf numFmtId="49" fontId="107" fillId="8" borderId="45" xfId="0" applyNumberFormat="1" applyFont="1" applyFill="1" applyBorder="1" applyAlignment="1">
      <alignment horizontal="center" vertical="center"/>
    </xf>
    <xf numFmtId="2" fontId="31" fillId="0" borderId="14" xfId="0" applyNumberFormat="1" applyFont="1" applyBorder="1"/>
    <xf numFmtId="1" fontId="51" fillId="0" borderId="20" xfId="0" applyNumberFormat="1" applyFont="1" applyBorder="1"/>
    <xf numFmtId="167" fontId="51" fillId="0" borderId="20" xfId="0" applyNumberFormat="1" applyFont="1" applyBorder="1" applyAlignment="1">
      <alignment horizontal="right"/>
    </xf>
    <xf numFmtId="1" fontId="53" fillId="0" borderId="37" xfId="0" applyNumberFormat="1" applyFont="1" applyBorder="1"/>
    <xf numFmtId="167" fontId="51" fillId="0" borderId="20" xfId="0" applyNumberFormat="1" applyFont="1" applyBorder="1"/>
    <xf numFmtId="2" fontId="31" fillId="5" borderId="15" xfId="0" applyNumberFormat="1" applyFont="1" applyFill="1" applyBorder="1"/>
    <xf numFmtId="0" fontId="51" fillId="5" borderId="20" xfId="0" applyFont="1" applyFill="1" applyBorder="1"/>
    <xf numFmtId="167" fontId="51" fillId="5" borderId="21" xfId="0" applyNumberFormat="1" applyFont="1" applyFill="1" applyBorder="1" applyAlignment="1">
      <alignment vertical="center"/>
    </xf>
    <xf numFmtId="0" fontId="108" fillId="3" borderId="3" xfId="0" applyFont="1" applyFill="1" applyBorder="1" applyAlignment="1" applyProtection="1">
      <alignment horizontal="right"/>
      <protection locked="0"/>
    </xf>
    <xf numFmtId="0" fontId="35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50" fillId="3" borderId="3" xfId="0" applyFont="1" applyFill="1" applyBorder="1" applyAlignment="1" applyProtection="1">
      <alignment horizontal="center"/>
      <protection locked="0"/>
    </xf>
    <xf numFmtId="0" fontId="50" fillId="3" borderId="3" xfId="0" applyFont="1" applyFill="1" applyBorder="1" applyAlignment="1" applyProtection="1">
      <alignment horizontal="center" vertical="center"/>
      <protection locked="0"/>
    </xf>
    <xf numFmtId="0" fontId="111" fillId="0" borderId="0" xfId="0" applyFont="1" applyAlignment="1">
      <alignment horizontal="right" vertical="center"/>
    </xf>
    <xf numFmtId="0" fontId="112" fillId="0" borderId="0" xfId="0" applyFont="1" applyAlignment="1" applyProtection="1">
      <alignment horizontal="right"/>
      <protection hidden="1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73" fillId="3" borderId="0" xfId="0" applyFont="1" applyFill="1" applyAlignment="1">
      <alignment horizontal="center" vertical="center"/>
    </xf>
    <xf numFmtId="172" fontId="59" fillId="6" borderId="0" xfId="0" applyNumberFormat="1" applyFont="1" applyFill="1" applyAlignment="1">
      <alignment vertical="center"/>
    </xf>
    <xf numFmtId="173" fontId="44" fillId="4" borderId="31" xfId="0" applyNumberFormat="1" applyFont="1" applyFill="1" applyBorder="1"/>
    <xf numFmtId="174" fontId="60" fillId="0" borderId="32" xfId="0" applyNumberFormat="1" applyFont="1" applyBorder="1"/>
    <xf numFmtId="172" fontId="53" fillId="4" borderId="19" xfId="0" applyNumberFormat="1" applyFont="1" applyFill="1" applyBorder="1" applyAlignment="1">
      <alignment horizontal="center"/>
    </xf>
    <xf numFmtId="171" fontId="29" fillId="5" borderId="0" xfId="0" applyNumberFormat="1" applyFont="1" applyFill="1" applyAlignment="1">
      <alignment horizontal="center" vertical="center"/>
    </xf>
    <xf numFmtId="168" fontId="46" fillId="3" borderId="39" xfId="0" applyNumberFormat="1" applyFont="1" applyFill="1" applyBorder="1" applyProtection="1">
      <protection locked="0"/>
    </xf>
    <xf numFmtId="172" fontId="9" fillId="0" borderId="0" xfId="3" applyNumberFormat="1" applyFont="1" applyAlignment="1">
      <alignment vertical="center"/>
    </xf>
    <xf numFmtId="172" fontId="9" fillId="0" borderId="0" xfId="0" applyNumberFormat="1" applyFont="1" applyAlignment="1">
      <alignment horizontal="right" vertical="center" wrapText="1"/>
    </xf>
    <xf numFmtId="172" fontId="9" fillId="0" borderId="0" xfId="0" applyNumberFormat="1" applyFont="1" applyAlignment="1">
      <alignment horizontal="right" vertical="center"/>
    </xf>
    <xf numFmtId="172" fontId="9" fillId="0" borderId="0" xfId="0" applyNumberFormat="1" applyFont="1" applyAlignment="1">
      <alignment vertical="center"/>
    </xf>
    <xf numFmtId="172" fontId="9" fillId="0" borderId="0" xfId="0" applyNumberFormat="1" applyFont="1"/>
    <xf numFmtId="176" fontId="44" fillId="3" borderId="39" xfId="0" applyNumberFormat="1" applyFont="1" applyFill="1" applyBorder="1" applyAlignment="1" applyProtection="1">
      <alignment vertical="center"/>
      <protection locked="0"/>
    </xf>
    <xf numFmtId="177" fontId="44" fillId="3" borderId="39" xfId="0" applyNumberFormat="1" applyFont="1" applyFill="1" applyBorder="1" applyAlignment="1" applyProtection="1">
      <alignment vertical="center"/>
      <protection locked="0"/>
    </xf>
    <xf numFmtId="0" fontId="58" fillId="4" borderId="0" xfId="0" applyFont="1" applyFill="1" applyAlignment="1">
      <alignment vertical="center"/>
    </xf>
    <xf numFmtId="0" fontId="109" fillId="5" borderId="3" xfId="0" applyFont="1" applyFill="1" applyBorder="1" applyAlignment="1" applyProtection="1">
      <alignment horizontal="right"/>
    </xf>
    <xf numFmtId="2" fontId="53" fillId="0" borderId="19" xfId="0" applyNumberFormat="1" applyFont="1" applyBorder="1"/>
    <xf numFmtId="0" fontId="77" fillId="0" borderId="0" xfId="0" applyFont="1" applyProtection="1">
      <protection hidden="1"/>
    </xf>
    <xf numFmtId="0" fontId="110" fillId="0" borderId="0" xfId="0" applyFont="1" applyProtection="1">
      <protection hidden="1"/>
    </xf>
    <xf numFmtId="0" fontId="42" fillId="0" borderId="0" xfId="0" applyFont="1" applyAlignment="1" applyProtection="1">
      <alignment horizontal="right" vertical="center"/>
      <protection hidden="1"/>
    </xf>
    <xf numFmtId="0" fontId="41" fillId="0" borderId="0" xfId="0" applyFont="1" applyAlignment="1" applyProtection="1">
      <alignment horizontal="right"/>
      <protection hidden="1"/>
    </xf>
    <xf numFmtId="1" fontId="55" fillId="0" borderId="0" xfId="0" applyNumberFormat="1" applyFont="1" applyAlignment="1" applyProtection="1">
      <alignment horizontal="right" vertical="center"/>
      <protection hidden="1"/>
    </xf>
    <xf numFmtId="0" fontId="36" fillId="0" borderId="0" xfId="0" applyFont="1" applyProtection="1">
      <protection hidden="1"/>
    </xf>
    <xf numFmtId="170" fontId="56" fillId="0" borderId="0" xfId="0" applyNumberFormat="1" applyFont="1" applyProtection="1">
      <protection hidden="1"/>
    </xf>
    <xf numFmtId="169" fontId="29" fillId="5" borderId="0" xfId="0" applyNumberFormat="1" applyFont="1" applyFill="1" applyAlignment="1">
      <alignment vertical="center"/>
    </xf>
    <xf numFmtId="178" fontId="105" fillId="4" borderId="0" xfId="0" applyNumberFormat="1" applyFont="1" applyFill="1" applyAlignment="1">
      <alignment vertical="center"/>
    </xf>
    <xf numFmtId="0" fontId="29" fillId="4" borderId="0" xfId="0" applyFont="1" applyFill="1"/>
    <xf numFmtId="0" fontId="79" fillId="5" borderId="0" xfId="0" applyFont="1" applyFill="1" applyAlignment="1">
      <alignment vertical="center"/>
    </xf>
    <xf numFmtId="2" fontId="51" fillId="5" borderId="20" xfId="0" applyNumberFormat="1" applyFont="1" applyFill="1" applyBorder="1" applyAlignment="1">
      <alignment horizontal="right" vertical="center"/>
    </xf>
    <xf numFmtId="0" fontId="57" fillId="0" borderId="0" xfId="0" applyFont="1" applyFill="1" applyBorder="1"/>
    <xf numFmtId="0" fontId="42" fillId="3" borderId="8" xfId="0" applyFont="1" applyFill="1" applyBorder="1" applyProtection="1">
      <protection locked="0"/>
    </xf>
    <xf numFmtId="0" fontId="58" fillId="4" borderId="25" xfId="0" applyFont="1" applyFill="1" applyBorder="1"/>
    <xf numFmtId="0" fontId="6" fillId="0" borderId="0" xfId="0" applyFont="1"/>
    <xf numFmtId="0" fontId="6" fillId="10" borderId="0" xfId="0" applyFont="1" applyFill="1"/>
    <xf numFmtId="0" fontId="114" fillId="0" borderId="0" xfId="0" applyFont="1"/>
    <xf numFmtId="0" fontId="65" fillId="3" borderId="54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3" fillId="3" borderId="0" xfId="0" applyFont="1" applyFill="1" applyBorder="1" applyAlignment="1">
      <alignment horizontal="left" vertical="center" wrapText="1" indent="1"/>
    </xf>
    <xf numFmtId="0" fontId="9" fillId="0" borderId="0" xfId="0" applyFont="1" applyAlignment="1">
      <alignment horizontal="left" vertical="center" wrapText="1"/>
    </xf>
    <xf numFmtId="166" fontId="51" fillId="5" borderId="34" xfId="0" applyNumberFormat="1" applyFont="1" applyFill="1" applyBorder="1"/>
    <xf numFmtId="1" fontId="21" fillId="3" borderId="43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 applyFill="1" applyBorder="1" applyAlignment="1">
      <alignment horizontal="center" vertical="center"/>
    </xf>
    <xf numFmtId="166" fontId="41" fillId="0" borderId="0" xfId="0" applyNumberFormat="1" applyFont="1" applyFill="1" applyBorder="1"/>
    <xf numFmtId="0" fontId="20" fillId="0" borderId="0" xfId="0" applyFont="1" applyAlignment="1">
      <alignment horizontal="center" vertical="center"/>
    </xf>
    <xf numFmtId="3" fontId="5" fillId="0" borderId="57" xfId="0" applyNumberFormat="1" applyFont="1" applyBorder="1" applyAlignment="1">
      <alignment horizontal="center" vertical="center"/>
    </xf>
    <xf numFmtId="3" fontId="68" fillId="4" borderId="7" xfId="0" applyNumberFormat="1" applyFont="1" applyFill="1" applyBorder="1" applyAlignment="1">
      <alignment horizontal="center" vertical="center"/>
    </xf>
    <xf numFmtId="178" fontId="75" fillId="8" borderId="7" xfId="0" applyNumberFormat="1" applyFont="1" applyFill="1" applyBorder="1" applyAlignment="1">
      <alignment horizontal="center" vertical="center"/>
    </xf>
    <xf numFmtId="14" fontId="71" fillId="0" borderId="7" xfId="0" applyNumberFormat="1" applyFont="1" applyFill="1" applyBorder="1" applyAlignment="1">
      <alignment horizontal="center" vertical="center"/>
    </xf>
    <xf numFmtId="0" fontId="29" fillId="0" borderId="7" xfId="0" applyFont="1" applyFill="1" applyBorder="1" applyAlignment="1">
      <alignment horizontal="left" vertical="center" wrapText="1" indent="1"/>
    </xf>
    <xf numFmtId="0" fontId="116" fillId="0" borderId="53" xfId="0" applyFont="1" applyFill="1" applyBorder="1" applyAlignment="1">
      <alignment horizontal="left" vertical="center" indent="1"/>
    </xf>
    <xf numFmtId="0" fontId="29" fillId="0" borderId="7" xfId="0" applyFont="1" applyFill="1" applyBorder="1" applyAlignment="1">
      <alignment horizontal="left" vertical="center" indent="1"/>
    </xf>
    <xf numFmtId="0" fontId="63" fillId="5" borderId="53" xfId="0" applyFont="1" applyFill="1" applyBorder="1" applyAlignment="1">
      <alignment horizontal="left" vertical="center" indent="1"/>
    </xf>
    <xf numFmtId="49" fontId="67" fillId="3" borderId="55" xfId="0" applyNumberFormat="1" applyFont="1" applyFill="1" applyBorder="1" applyAlignment="1">
      <alignment horizontal="left" vertical="center" indent="1"/>
    </xf>
    <xf numFmtId="0" fontId="91" fillId="4" borderId="7" xfId="0" applyFont="1" applyFill="1" applyBorder="1" applyAlignment="1">
      <alignment horizontal="right" wrapText="1"/>
    </xf>
    <xf numFmtId="3" fontId="4" fillId="0" borderId="7" xfId="0" applyNumberFormat="1" applyFont="1" applyBorder="1" applyAlignment="1">
      <alignment horizontal="center" vertical="center"/>
    </xf>
    <xf numFmtId="3" fontId="115" fillId="3" borderId="7" xfId="0" applyNumberFormat="1" applyFont="1" applyFill="1" applyBorder="1" applyAlignment="1">
      <alignment horizontal="left" vertical="center" indent="1"/>
    </xf>
    <xf numFmtId="179" fontId="80" fillId="0" borderId="7" xfId="0" applyNumberFormat="1" applyFont="1" applyFill="1" applyBorder="1" applyAlignment="1">
      <alignment horizontal="center" vertical="center"/>
    </xf>
    <xf numFmtId="0" fontId="66" fillId="0" borderId="7" xfId="0" applyFont="1" applyFill="1" applyBorder="1" applyAlignment="1">
      <alignment horizontal="right" vertical="center"/>
    </xf>
    <xf numFmtId="0" fontId="81" fillId="0" borderId="7" xfId="0" applyFont="1" applyFill="1" applyBorder="1" applyAlignment="1">
      <alignment horizontal="right" vertical="center"/>
    </xf>
    <xf numFmtId="0" fontId="88" fillId="4" borderId="7" xfId="0" applyFont="1" applyFill="1" applyBorder="1" applyAlignment="1">
      <alignment horizontal="right" vertical="center"/>
    </xf>
    <xf numFmtId="0" fontId="88" fillId="0" borderId="7" xfId="0" applyFont="1" applyBorder="1" applyAlignment="1">
      <alignment horizontal="right" vertical="center"/>
    </xf>
    <xf numFmtId="0" fontId="3" fillId="7" borderId="0" xfId="0" applyFont="1" applyFill="1"/>
    <xf numFmtId="0" fontId="33" fillId="11" borderId="0" xfId="0" applyFont="1" applyFill="1" applyAlignment="1">
      <alignment horizontal="right" vertical="center"/>
    </xf>
    <xf numFmtId="0" fontId="118" fillId="11" borderId="10" xfId="0" applyFont="1" applyFill="1" applyBorder="1" applyAlignment="1">
      <alignment horizontal="right" vertical="center"/>
    </xf>
    <xf numFmtId="0" fontId="2" fillId="0" borderId="0" xfId="0" applyFont="1"/>
    <xf numFmtId="0" fontId="119" fillId="0" borderId="0" xfId="0" applyFont="1" applyProtection="1">
      <protection hidden="1"/>
    </xf>
    <xf numFmtId="0" fontId="120" fillId="0" borderId="0" xfId="0" applyFont="1" applyAlignment="1">
      <alignment horizontal="center"/>
    </xf>
    <xf numFmtId="0" fontId="9" fillId="8" borderId="0" xfId="0" applyFont="1" applyFill="1" applyAlignment="1">
      <alignment vertical="center"/>
    </xf>
    <xf numFmtId="0" fontId="2" fillId="0" borderId="0" xfId="0" applyFont="1" applyFill="1" applyBorder="1"/>
    <xf numFmtId="2" fontId="2" fillId="0" borderId="0" xfId="0" applyNumberFormat="1" applyFont="1" applyFill="1" applyBorder="1"/>
    <xf numFmtId="0" fontId="2" fillId="0" borderId="0" xfId="0" quotePrefix="1" applyFont="1" applyFill="1" applyBorder="1"/>
    <xf numFmtId="0" fontId="32" fillId="0" borderId="0" xfId="0" applyFont="1"/>
    <xf numFmtId="0" fontId="9" fillId="0" borderId="14" xfId="0" applyFont="1" applyBorder="1"/>
    <xf numFmtId="0" fontId="2" fillId="0" borderId="0" xfId="0" applyFont="1" applyProtection="1">
      <protection hidden="1"/>
    </xf>
    <xf numFmtId="0" fontId="121" fillId="0" borderId="0" xfId="0" applyFont="1" applyFill="1" applyBorder="1"/>
    <xf numFmtId="0" fontId="122" fillId="0" borderId="0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1" fontId="93" fillId="0" borderId="0" xfId="0" applyNumberFormat="1" applyFont="1" applyProtection="1">
      <protection hidden="1"/>
    </xf>
    <xf numFmtId="0" fontId="2" fillId="2" borderId="0" xfId="0" applyFont="1" applyFill="1" applyProtection="1">
      <protection hidden="1"/>
    </xf>
    <xf numFmtId="170" fontId="9" fillId="0" borderId="0" xfId="0" applyNumberFormat="1" applyFont="1" applyFill="1"/>
    <xf numFmtId="0" fontId="46" fillId="0" borderId="0" xfId="0" applyFont="1" applyAlignment="1">
      <alignment horizontal="right"/>
    </xf>
    <xf numFmtId="166" fontId="2" fillId="0" borderId="0" xfId="0" applyNumberFormat="1" applyFont="1"/>
    <xf numFmtId="0" fontId="64" fillId="0" borderId="0" xfId="0" applyFont="1"/>
    <xf numFmtId="0" fontId="123" fillId="0" borderId="0" xfId="0" applyFont="1"/>
    <xf numFmtId="0" fontId="2" fillId="0" borderId="0" xfId="0" applyFont="1" applyFill="1"/>
    <xf numFmtId="0" fontId="124" fillId="0" borderId="0" xfId="0" applyFont="1"/>
    <xf numFmtId="2" fontId="2" fillId="0" borderId="0" xfId="0" applyNumberFormat="1" applyFont="1"/>
    <xf numFmtId="49" fontId="73" fillId="0" borderId="0" xfId="0" applyNumberFormat="1" applyFont="1" applyAlignment="1">
      <alignment horizontal="center"/>
    </xf>
    <xf numFmtId="169" fontId="29" fillId="5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right" vertical="center"/>
    </xf>
    <xf numFmtId="49" fontId="125" fillId="15" borderId="3" xfId="0" applyNumberFormat="1" applyFont="1" applyFill="1" applyBorder="1" applyAlignment="1" applyProtection="1">
      <alignment horizontal="center"/>
      <protection locked="0"/>
    </xf>
    <xf numFmtId="1" fontId="69" fillId="3" borderId="43" xfId="0" applyNumberFormat="1" applyFont="1" applyFill="1" applyBorder="1" applyAlignment="1" applyProtection="1">
      <alignment horizontal="center" vertical="center"/>
      <protection locked="0"/>
    </xf>
    <xf numFmtId="1" fontId="69" fillId="3" borderId="46" xfId="0" applyNumberFormat="1" applyFont="1" applyFill="1" applyBorder="1" applyAlignment="1" applyProtection="1">
      <alignment horizontal="center" vertical="center"/>
      <protection locked="0"/>
    </xf>
    <xf numFmtId="0" fontId="33" fillId="12" borderId="3" xfId="0" applyFont="1" applyFill="1" applyBorder="1" applyAlignment="1" applyProtection="1">
      <alignment horizontal="right" vertical="center"/>
      <protection locked="0"/>
    </xf>
    <xf numFmtId="0" fontId="52" fillId="0" borderId="10" xfId="0" applyFont="1" applyBorder="1" applyAlignment="1">
      <alignment horizontal="right" vertical="center"/>
    </xf>
    <xf numFmtId="0" fontId="50" fillId="0" borderId="0" xfId="0" applyFont="1" applyAlignment="1">
      <alignment horizontal="right"/>
    </xf>
    <xf numFmtId="0" fontId="9" fillId="5" borderId="20" xfId="0" applyFont="1" applyFill="1" applyBorder="1"/>
    <xf numFmtId="0" fontId="32" fillId="12" borderId="3" xfId="0" applyFont="1" applyFill="1" applyBorder="1" applyProtection="1">
      <protection locked="0"/>
    </xf>
    <xf numFmtId="0" fontId="126" fillId="19" borderId="48" xfId="0" applyFont="1" applyFill="1" applyBorder="1" applyAlignment="1">
      <alignment horizontal="left"/>
    </xf>
    <xf numFmtId="3" fontId="63" fillId="5" borderId="13" xfId="0" applyNumberFormat="1" applyFont="1" applyFill="1" applyBorder="1" applyAlignment="1">
      <alignment horizontal="left"/>
    </xf>
    <xf numFmtId="170" fontId="31" fillId="0" borderId="0" xfId="0" applyNumberFormat="1" applyFont="1" applyFill="1" applyAlignment="1">
      <alignment horizontal="right"/>
    </xf>
    <xf numFmtId="0" fontId="127" fillId="0" borderId="0" xfId="0" applyFont="1"/>
    <xf numFmtId="3" fontId="4" fillId="5" borderId="7" xfId="0" applyNumberFormat="1" applyFont="1" applyFill="1" applyBorder="1" applyAlignment="1">
      <alignment horizontal="left" vertical="center" indent="1"/>
    </xf>
    <xf numFmtId="0" fontId="44" fillId="0" borderId="0" xfId="0" applyFont="1" applyFill="1" applyBorder="1" applyAlignment="1">
      <alignment horizontal="left" vertical="center"/>
    </xf>
    <xf numFmtId="0" fontId="17" fillId="20" borderId="58" xfId="0" applyFont="1" applyFill="1" applyBorder="1" applyAlignment="1">
      <alignment vertical="center"/>
    </xf>
    <xf numFmtId="0" fontId="17" fillId="20" borderId="59" xfId="0" applyFont="1" applyFill="1" applyBorder="1" applyAlignment="1">
      <alignment horizontal="center" vertical="center"/>
    </xf>
    <xf numFmtId="0" fontId="17" fillId="20" borderId="60" xfId="0" applyFont="1" applyFill="1" applyBorder="1" applyAlignment="1">
      <alignment horizontal="center" vertical="center"/>
    </xf>
    <xf numFmtId="0" fontId="21" fillId="0" borderId="0" xfId="0" applyFon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1" fontId="46" fillId="3" borderId="43" xfId="0" applyNumberFormat="1" applyFont="1" applyFill="1" applyBorder="1" applyAlignment="1" applyProtection="1">
      <alignment horizontal="center" vertical="center"/>
      <protection locked="0"/>
    </xf>
    <xf numFmtId="1" fontId="46" fillId="3" borderId="46" xfId="0" applyNumberFormat="1" applyFont="1" applyFill="1" applyBorder="1" applyAlignment="1" applyProtection="1">
      <alignment horizontal="center" vertical="center"/>
      <protection locked="0"/>
    </xf>
    <xf numFmtId="0" fontId="128" fillId="0" borderId="0" xfId="0" applyFont="1" applyAlignment="1">
      <alignment vertical="center"/>
    </xf>
    <xf numFmtId="0" fontId="39" fillId="0" borderId="0" xfId="0" applyFont="1" applyFill="1" applyBorder="1" applyProtection="1">
      <protection hidden="1"/>
    </xf>
    <xf numFmtId="0" fontId="42" fillId="0" borderId="0" xfId="0" applyFont="1" applyFill="1" applyBorder="1" applyAlignment="1">
      <alignment horizontal="left" vertical="center"/>
    </xf>
    <xf numFmtId="0" fontId="42" fillId="0" borderId="0" xfId="0" applyFont="1" applyFill="1" applyBorder="1" applyAlignment="1">
      <alignment horizontal="right" vertical="center"/>
    </xf>
    <xf numFmtId="1" fontId="44" fillId="0" borderId="0" xfId="0" applyNumberFormat="1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>
      <alignment horizontal="left"/>
    </xf>
    <xf numFmtId="0" fontId="50" fillId="0" borderId="0" xfId="0" applyFont="1" applyFill="1" applyBorder="1" applyAlignment="1" applyProtection="1">
      <alignment horizontal="right"/>
      <protection locked="0"/>
    </xf>
    <xf numFmtId="2" fontId="31" fillId="0" borderId="0" xfId="0" applyNumberFormat="1" applyFont="1" applyFill="1" applyBorder="1"/>
    <xf numFmtId="0" fontId="43" fillId="0" borderId="0" xfId="0" applyFont="1" applyAlignment="1">
      <alignment horizontal="right"/>
    </xf>
    <xf numFmtId="0" fontId="117" fillId="0" borderId="0" xfId="0" applyFont="1" applyFill="1" applyBorder="1" applyAlignment="1">
      <alignment vertical="center"/>
    </xf>
    <xf numFmtId="0" fontId="49" fillId="0" borderId="0" xfId="0" applyFont="1" applyAlignment="1">
      <alignment horizontal="left"/>
    </xf>
    <xf numFmtId="0" fontId="36" fillId="4" borderId="37" xfId="0" applyFont="1" applyFill="1" applyBorder="1" applyAlignment="1" applyProtection="1">
      <alignment horizontal="left" vertical="center"/>
      <protection hidden="1"/>
    </xf>
    <xf numFmtId="0" fontId="0" fillId="4" borderId="42" xfId="0" applyFill="1" applyBorder="1"/>
    <xf numFmtId="0" fontId="44" fillId="4" borderId="42" xfId="0" applyFont="1" applyFill="1" applyBorder="1" applyAlignment="1">
      <alignment horizontal="left" vertical="center"/>
    </xf>
    <xf numFmtId="0" fontId="28" fillId="0" borderId="26" xfId="0" applyFont="1" applyBorder="1" applyAlignment="1">
      <alignment horizontal="right" vertical="center"/>
    </xf>
    <xf numFmtId="0" fontId="130" fillId="0" borderId="0" xfId="0" applyFont="1" applyAlignment="1" applyProtection="1">
      <alignment horizontal="right" vertical="center"/>
      <protection hidden="1"/>
    </xf>
    <xf numFmtId="0" fontId="131" fillId="0" borderId="0" xfId="0" applyFont="1" applyAlignment="1">
      <alignment horizontal="right" vertical="center"/>
    </xf>
    <xf numFmtId="0" fontId="33" fillId="12" borderId="0" xfId="0" applyFont="1" applyFill="1" applyAlignment="1">
      <alignment horizontal="left" vertical="center"/>
    </xf>
    <xf numFmtId="175" fontId="53" fillId="0" borderId="1" xfId="0" applyNumberFormat="1" applyFont="1" applyBorder="1" applyAlignment="1" applyProtection="1">
      <alignment vertical="center"/>
      <protection hidden="1"/>
    </xf>
    <xf numFmtId="0" fontId="66" fillId="0" borderId="0" xfId="0" applyFont="1" applyAlignment="1" applyProtection="1">
      <alignment horizontal="center" vertical="center" wrapText="1"/>
      <protection hidden="1"/>
    </xf>
    <xf numFmtId="0" fontId="37" fillId="12" borderId="0" xfId="0" applyFont="1" applyFill="1" applyAlignment="1">
      <alignment horizontal="right" vertical="center"/>
    </xf>
    <xf numFmtId="0" fontId="66" fillId="12" borderId="0" xfId="0" applyFont="1" applyFill="1" applyAlignment="1">
      <alignment horizontal="right" vertical="center"/>
    </xf>
    <xf numFmtId="0" fontId="32" fillId="12" borderId="0" xfId="0" applyFont="1" applyFill="1" applyAlignment="1">
      <alignment horizontal="right" vertical="center"/>
    </xf>
    <xf numFmtId="3" fontId="68" fillId="18" borderId="7" xfId="0" applyNumberFormat="1" applyFont="1" applyFill="1" applyBorder="1" applyAlignment="1">
      <alignment horizontal="left" vertical="center" indent="1"/>
    </xf>
    <xf numFmtId="0" fontId="78" fillId="11" borderId="47" xfId="0" applyFont="1" applyFill="1" applyBorder="1" applyAlignment="1">
      <alignment horizontal="right" vertical="center"/>
    </xf>
    <xf numFmtId="0" fontId="30" fillId="9" borderId="0" xfId="0" applyFont="1" applyFill="1" applyAlignment="1">
      <alignment horizontal="center"/>
    </xf>
    <xf numFmtId="0" fontId="33" fillId="11" borderId="0" xfId="0" applyFont="1" applyFill="1" applyAlignment="1">
      <alignment horizontal="right" vertical="center"/>
    </xf>
    <xf numFmtId="0" fontId="113" fillId="0" borderId="0" xfId="0" applyFont="1" applyAlignment="1">
      <alignment horizontal="center" vertical="center" wrapText="1"/>
    </xf>
    <xf numFmtId="0" fontId="113" fillId="0" borderId="3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9" fillId="4" borderId="56" xfId="0" applyFont="1" applyFill="1" applyBorder="1" applyAlignment="1">
      <alignment horizontal="right" vertical="center" wrapText="1" indent="1"/>
    </xf>
    <xf numFmtId="0" fontId="9" fillId="4" borderId="57" xfId="0" applyFont="1" applyFill="1" applyBorder="1" applyAlignment="1">
      <alignment horizontal="right" vertical="center" wrapText="1" indent="1"/>
    </xf>
    <xf numFmtId="0" fontId="9" fillId="0" borderId="56" xfId="0" applyFont="1" applyBorder="1" applyAlignment="1">
      <alignment horizontal="left" vertical="top"/>
    </xf>
    <xf numFmtId="0" fontId="9" fillId="0" borderId="33" xfId="0" applyFont="1" applyBorder="1" applyAlignment="1">
      <alignment horizontal="left" vertical="top"/>
    </xf>
    <xf numFmtId="0" fontId="9" fillId="0" borderId="57" xfId="0" applyFont="1" applyBorder="1" applyAlignment="1">
      <alignment horizontal="left" vertical="top"/>
    </xf>
    <xf numFmtId="0" fontId="75" fillId="9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/>
    </xf>
  </cellXfs>
  <cellStyles count="6">
    <cellStyle name="Comma 2" xfId="4" xr:uid="{00000000-0005-0000-0000-000001000000}"/>
    <cellStyle name="Currency 2" xfId="5" xr:uid="{00000000-0005-0000-0000-000003000000}"/>
    <cellStyle name="Валута" xfId="3" builtinId="4"/>
    <cellStyle name="Запетая" xfId="1" builtinId="3"/>
    <cellStyle name="Нормален" xfId="0" builtinId="0"/>
    <cellStyle name="Хипервръзка" xfId="2" builtinId="8"/>
  </cellStyles>
  <dxfs count="40"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numFmt numFmtId="172" formatCode="_-* #,##0.00\ [$€-1]_-;\-* #,##0.00\ [$€-1]_-;_-* &quot;-&quot;??\ [$€-1]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  <border diagonalUp="0" diagonalDown="0"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  <vertical/>
        <horizontal style="thin">
          <color theme="9" tint="0.59996337778862885"/>
        </horizontal>
      </border>
    </dxf>
    <dxf>
      <font>
        <strike val="0"/>
        <outline val="0"/>
        <shadow val="0"/>
        <u val="none"/>
        <vertAlign val="baseline"/>
        <sz val="10"/>
        <color theme="9" tint="-0.249977111117893"/>
        <name val="Arial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30" formatCode="@"/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family val="2"/>
        <charset val="204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9" tint="-0.499984740745262"/>
        <name val="Arial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color theme="1" tint="4.9989318521683403E-2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 patternType="gray0625">
          <fgColor rgb="FFFF0000"/>
          <bgColor theme="9" tint="-0.24994659260841701"/>
        </patternFill>
      </fill>
    </dxf>
  </dxfs>
  <tableStyles count="0" defaultTableStyle="TableStyleMedium2" defaultPivotStyle="PivotStyleLight16"/>
  <colors>
    <mruColors>
      <color rgb="FFC2E3BF"/>
      <color rgb="FFFDFFE5"/>
      <color rgb="FFD01C6D"/>
      <color rgb="FFDFF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20</xdr:row>
      <xdr:rowOff>209550</xdr:rowOff>
    </xdr:from>
    <xdr:to>
      <xdr:col>1</xdr:col>
      <xdr:colOff>495300</xdr:colOff>
      <xdr:row>21</xdr:row>
      <xdr:rowOff>219075</xdr:rowOff>
    </xdr:to>
    <xdr:sp macro="[0]!Изчисти_черно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CDBCE7E4-3127-E908-233F-5254DDF57D1B}"/>
            </a:ext>
          </a:extLst>
        </xdr:cNvPr>
        <xdr:cNvSpPr/>
      </xdr:nvSpPr>
      <xdr:spPr>
        <a:xfrm>
          <a:off x="1143000" y="4048125"/>
          <a:ext cx="914400" cy="2286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bg-BG" sz="1100">
              <a:latin typeface="Bahnschrift" panose="020B0502040204020203" pitchFamily="34" charset="0"/>
            </a:rPr>
            <a:t>Изчисти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таб_Цял_Лист" displayName="таб_Цял_Лист" ref="A1:C46" totalsRowShown="0" headerRowDxfId="28" dataDxfId="27">
  <autoFilter ref="A1:C46" xr:uid="{00000000-0009-0000-0100-000006000000}"/>
  <tableColumns count="3">
    <tableColumn id="1" xr3:uid="{00000000-0010-0000-0100-000001000000}" name="формат/цял лист" dataDxfId="26"/>
    <tableColumn id="2" xr3:uid="{00000000-0010-0000-0100-000002000000}" name="формати/печат" dataDxfId="25"/>
    <tableColumn id="3" xr3:uid="{00000000-0010-0000-0100-000003000000}" name="тираж. Листа от лист" dataDxfId="2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Таблица2" displayName="Таблица2" ref="A1:G11" totalsRowShown="0" headerRowDxfId="21" dataDxfId="20">
  <autoFilter ref="A1:G11" xr:uid="{00000000-0009-0000-0100-000002000000}"/>
  <sortState xmlns:xlrd2="http://schemas.microsoft.com/office/spreadsheetml/2017/richdata2" ref="A2:H11">
    <sortCondition ref="A1:A11"/>
  </sortState>
  <tableColumns count="7">
    <tableColumn id="5" xr3:uid="{00000000-0010-0000-0300-000005000000}" name="лепене" dataDxfId="19"/>
    <tableColumn id="6" xr3:uid="{00000000-0010-0000-0300-000006000000}" name="леп/цена €" dataDxfId="18"/>
    <tableColumn id="11" xr3:uid="{00000000-0010-0000-0300-00000B000000}" name="обръщане" dataDxfId="17"/>
    <tableColumn id="9" xr3:uid="{00000000-0010-0000-0300-000009000000}" name="набор/ химизирана €" dataDxfId="16"/>
    <tableColumn id="12" xr3:uid="{00000000-0010-0000-0300-00000C000000}" name="номерация €" dataDxfId="15"/>
    <tableColumn id="2" xr3:uid="{5456B5E0-9E26-4D22-814C-57CA8ED6B3AA}" name="печат" dataDxfId="14"/>
    <tableColumn id="3" xr3:uid="{C2842A0E-BF5C-4745-B59A-498674E417D3}" name="печат /цена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Таблица1" displayName="Таблица1" ref="I1:L13" totalsRowShown="0" headerRowDxfId="12" dataDxfId="10" headerRowBorderDxfId="11" tableBorderDxfId="9" totalsRowBorderDxfId="8">
  <autoFilter ref="I1:L13" xr:uid="{00000000-000C-0000-FFFF-FFFF04000000}"/>
  <sortState xmlns:xlrd2="http://schemas.microsoft.com/office/spreadsheetml/2017/richdata2" ref="I2:K12">
    <sortCondition ref="I1:I12"/>
  </sortState>
  <tableColumns count="4">
    <tableColumn id="1" xr3:uid="{00000000-0010-0000-0400-000001000000}" name="УВ лак/ламиниране" dataDxfId="7"/>
    <tableColumn id="2" xr3:uid="{00000000-0010-0000-0400-000002000000}" name="УВ цена €" dataDxfId="6"/>
    <tableColumn id="3" xr3:uid="{00000000-0010-0000-0400-000003000000}" name="ламин/цена €" dataDxfId="5"/>
    <tableColumn id="4" xr3:uid="{9393D958-C5CF-4B29-9F61-B0423C5020C8}" name="подготовка €" dataDxfId="4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montaj" displayName="montaj" ref="A5:B14" totalsRowShown="0" headerRowDxfId="3" dataDxfId="2">
  <autoFilter ref="A5:B14" xr:uid="{00000000-0009-0000-0100-000003000000}"/>
  <sortState xmlns:xlrd2="http://schemas.microsoft.com/office/spreadsheetml/2017/richdata2" ref="A6:B14">
    <sortCondition ref="A5:A14"/>
  </sortState>
  <tableColumns count="2">
    <tableColumn id="1" xr3:uid="{00000000-0010-0000-0500-000001000000}" name="изделие" dataDxfId="1"/>
    <tableColumn id="2" xr3:uid="{00000000-0010-0000-0500-000002000000}" name="цен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CDAFDA-07CD-4E48-9F87-3FE76B779079}">
  <we:reference id="wa104381227" version="1.0.0.1" store="bg-BG" storeType="OMEX"/>
  <we:alternateReferences>
    <we:reference id="wa104381227" version="1.0.0.1" store="WA10438122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theme="1"/>
  </sheetPr>
  <dimension ref="A1:Z91"/>
  <sheetViews>
    <sheetView showGridLines="0" tabSelected="1" workbookViewId="0">
      <selection activeCell="H7" sqref="H7"/>
    </sheetView>
  </sheetViews>
  <sheetFormatPr defaultColWidth="9.140625" defaultRowHeight="15"/>
  <cols>
    <col min="1" max="1" width="23.42578125" customWidth="1"/>
    <col min="2" max="2" width="8.140625" customWidth="1"/>
    <col min="3" max="3" width="7.140625" customWidth="1"/>
    <col min="4" max="4" width="3.42578125" customWidth="1"/>
    <col min="5" max="5" width="3.85546875" customWidth="1"/>
    <col min="6" max="6" width="10.28515625" customWidth="1"/>
    <col min="7" max="7" width="14" customWidth="1"/>
    <col min="8" max="8" width="8.7109375" customWidth="1"/>
    <col min="9" max="9" width="8.5703125" customWidth="1"/>
    <col min="10" max="10" width="9.5703125" customWidth="1"/>
    <col min="11" max="11" width="8.28515625" customWidth="1"/>
    <col min="12" max="12" width="7.140625" customWidth="1"/>
    <col min="13" max="13" width="6.5703125" customWidth="1"/>
    <col min="14" max="14" width="11.85546875" customWidth="1"/>
    <col min="15" max="15" width="11.5703125" customWidth="1"/>
    <col min="16" max="16" width="9.28515625" customWidth="1"/>
    <col min="17" max="17" width="9.140625" customWidth="1"/>
    <col min="18" max="18" width="4" customWidth="1"/>
    <col min="19" max="19" width="15.85546875" customWidth="1"/>
    <col min="20" max="20" width="14.85546875" customWidth="1"/>
    <col min="21" max="23" width="9.140625" customWidth="1"/>
  </cols>
  <sheetData>
    <row r="1" spans="1:26">
      <c r="A1" s="336" t="s">
        <v>217</v>
      </c>
      <c r="B1" s="336"/>
      <c r="C1" s="336"/>
      <c r="E1" s="336" t="s">
        <v>72</v>
      </c>
      <c r="F1" s="336"/>
      <c r="G1" s="336"/>
      <c r="H1" s="336"/>
      <c r="I1" s="336"/>
      <c r="P1" s="1"/>
    </row>
    <row r="2" spans="1:26">
      <c r="A2" s="264"/>
      <c r="B2" s="264"/>
      <c r="C2" s="264"/>
      <c r="D2" s="264"/>
      <c r="E2" s="340"/>
      <c r="F2" s="340"/>
      <c r="G2" s="264"/>
      <c r="H2" s="265" t="s">
        <v>10</v>
      </c>
      <c r="I2" s="266" t="s">
        <v>22</v>
      </c>
      <c r="J2" s="264"/>
      <c r="K2" s="264"/>
      <c r="L2" s="264"/>
      <c r="M2" s="264"/>
      <c r="N2" s="264"/>
      <c r="O2" s="264"/>
      <c r="P2" s="264"/>
      <c r="Q2" t="s">
        <v>41</v>
      </c>
      <c r="R2" s="3"/>
    </row>
    <row r="3" spans="1:26">
      <c r="A3" s="147" t="s">
        <v>0</v>
      </c>
      <c r="B3" s="52" t="s">
        <v>149</v>
      </c>
      <c r="C3" s="264"/>
      <c r="D3" s="264"/>
      <c r="E3" s="267"/>
      <c r="F3" s="103" t="s">
        <v>71</v>
      </c>
      <c r="G3" s="22">
        <f>IFERROR(IF(I3="със",B15*H3*1.2,IF(I3="без",ROUNDUP(B15*H3,0.5),"")),"")</f>
        <v>17</v>
      </c>
      <c r="H3" s="24">
        <v>0.1</v>
      </c>
      <c r="I3" s="54" t="s">
        <v>32</v>
      </c>
      <c r="J3" s="264"/>
      <c r="L3" s="312"/>
      <c r="M3" s="268"/>
      <c r="N3" s="313"/>
      <c r="O3" s="269"/>
      <c r="P3" s="270"/>
    </row>
    <row r="4" spans="1:26">
      <c r="A4" s="145" t="s">
        <v>1</v>
      </c>
      <c r="B4" s="148" t="s">
        <v>47</v>
      </c>
      <c r="C4" s="295" t="s">
        <v>168</v>
      </c>
      <c r="D4" s="264"/>
      <c r="E4" s="341" t="s">
        <v>14</v>
      </c>
      <c r="F4" s="341"/>
      <c r="G4" s="23">
        <f>IF(B9="","",IF(B9="черно",(B6+B7)*H4,IF(B9="не",(B6+B7)*H4,IF(B9&lt;&gt;"черно",H4*B6,""))))</f>
        <v>32</v>
      </c>
      <c r="H4" s="25">
        <f>IF(B9="черно",довърш.!G2,IF(B9="черно с обр.",довърш.!G3,IF(B9&lt;&gt;"черно",довърш.!G4)))</f>
        <v>8</v>
      </c>
      <c r="I4" s="31"/>
      <c r="J4" s="26"/>
      <c r="K4" s="314"/>
      <c r="L4" s="315"/>
      <c r="M4" s="315"/>
      <c r="N4" s="316"/>
      <c r="O4" s="264"/>
      <c r="P4" s="268"/>
      <c r="Z4" s="89"/>
    </row>
    <row r="5" spans="1:26" ht="15.75">
      <c r="A5" s="147" t="s">
        <v>209</v>
      </c>
      <c r="B5" s="291">
        <v>110</v>
      </c>
      <c r="C5" s="292">
        <v>152</v>
      </c>
      <c r="D5" s="271"/>
      <c r="E5" s="337" t="s">
        <v>20</v>
      </c>
      <c r="F5" s="337"/>
      <c r="G5" s="22" t="str" cm="1">
        <f t="array" ref="G5">_xlfn.LET( _xlpm.база, 2.7 * B7,  _xlpm.тираж_100, FLOOR(B12, 100),  _xlpm.коеф_хиляди, _xlpm.тираж_100 /1000, _xlfn.SWITCH(H5, "да", _xlpm.база * MAX(1, ROUNDUP(_xlpm.коеф_хиляди, 0)), "черно с обр.",MROUND(_xlpm.база * MAX(1, _xlpm.коеф_хиляди), 5), ""  ))</f>
        <v/>
      </c>
      <c r="H5" s="182" t="str">
        <f>B9</f>
        <v>не</v>
      </c>
      <c r="I5" s="132"/>
      <c r="J5" s="132"/>
      <c r="K5" s="321" t="s">
        <v>213</v>
      </c>
      <c r="L5" s="320"/>
      <c r="M5" s="320"/>
      <c r="N5" s="317"/>
      <c r="O5" s="264"/>
      <c r="P5" s="268"/>
      <c r="Z5" s="89"/>
    </row>
    <row r="6" spans="1:26">
      <c r="A6" s="146" t="s">
        <v>19</v>
      </c>
      <c r="B6" s="27">
        <v>4</v>
      </c>
      <c r="D6" s="264"/>
      <c r="E6" s="192"/>
      <c r="F6" s="193" t="s">
        <v>21</v>
      </c>
      <c r="G6" s="272" cm="1">
        <f t="array" ref="G6">IFERROR(_xlfn.SWITCH(B9, "черно", (B6+B7),  "не", (B6+B7), "черно с обр.", B6,  "да", B6, 0) * 2.7 * _xlfn.FLOOR.PRECISE(B12/1001, 1), "")</f>
        <v>10.8</v>
      </c>
      <c r="H6" s="177">
        <f>IFERROR(_xlfn.FLOOR.PRECISE(B12/1001,1),"")</f>
        <v>1</v>
      </c>
      <c r="I6" s="264"/>
      <c r="J6" s="273"/>
      <c r="K6" s="322" t="str" cm="1">
        <f t="array" ref="K6">FindBestSheet(B5, C5, B9, B10)</f>
        <v>МИН: 23x17.5 (2 бр., фира: 16,9%) | МАКС (Оптим.): 45x32 (8 бр., фира: 7,1%)</v>
      </c>
      <c r="L6" s="323"/>
      <c r="M6" s="324"/>
      <c r="N6" s="303"/>
      <c r="O6" s="275"/>
      <c r="P6" s="268"/>
      <c r="Z6" s="90"/>
    </row>
    <row r="7" spans="1:26">
      <c r="A7" s="335" t="s">
        <v>18</v>
      </c>
      <c r="B7" s="115">
        <v>0</v>
      </c>
      <c r="D7" s="264"/>
      <c r="E7" s="264"/>
      <c r="F7" s="196" t="s">
        <v>170</v>
      </c>
      <c r="G7" s="22" t="str">
        <f>IF(H7="да",2.7*I7+H6*I7*7,"")</f>
        <v/>
      </c>
      <c r="H7" s="194" t="s">
        <v>32</v>
      </c>
      <c r="I7" s="191">
        <v>2</v>
      </c>
      <c r="J7" s="217" t="s">
        <v>11</v>
      </c>
      <c r="K7" s="273"/>
      <c r="L7" s="273"/>
      <c r="M7" s="274"/>
      <c r="N7" s="274"/>
      <c r="O7" s="241"/>
      <c r="P7" s="268"/>
      <c r="U7" s="264"/>
      <c r="Z7" s="31"/>
    </row>
    <row r="8" spans="1:26">
      <c r="A8" s="146" t="s">
        <v>5</v>
      </c>
      <c r="B8" s="149">
        <v>5000</v>
      </c>
      <c r="C8" s="280"/>
      <c r="D8" s="264"/>
      <c r="E8" s="104"/>
      <c r="F8" s="262" t="s">
        <v>8</v>
      </c>
      <c r="G8" s="183">
        <f>IF(H8="да",2.8*I8,"")</f>
        <v>11.2</v>
      </c>
      <c r="H8" s="195" t="s">
        <v>26</v>
      </c>
      <c r="I8" s="215">
        <f>IFERROR(IF(B9="", "", B6 + IF(OR(B9="не", B9="пантон", B9="черно"), B7, 0)), "")</f>
        <v>4</v>
      </c>
      <c r="J8" s="218" t="s">
        <v>11</v>
      </c>
      <c r="K8" s="273"/>
      <c r="L8" s="161"/>
      <c r="M8" s="268"/>
      <c r="N8" s="268"/>
      <c r="O8" s="268"/>
      <c r="P8" s="242"/>
    </row>
    <row r="9" spans="1:26">
      <c r="A9" s="335" t="s">
        <v>20</v>
      </c>
      <c r="B9" s="290" t="s">
        <v>27</v>
      </c>
      <c r="C9" s="58"/>
      <c r="D9" s="264"/>
      <c r="E9" s="124"/>
      <c r="F9" s="116" t="s">
        <v>12</v>
      </c>
      <c r="G9" s="188" cm="1">
        <f t="array" ref="G9">_xlfn.LET(
  _xlpm.тип, H9,
  _xlpm.тир_листа, B12,
_xlpm.бр_тир_листа, B13,
_xlpm.цели_листа, B15,
  _xlpm.единици, B8,
  _xlpm.размножения, B11,
  _xlpm.цена_стандарт,MROUND( MAX(1.5, _xlpm.тир_листа * 0.0005),0.5),
   _xlpm.цена_ани, MROUND(_xlpm.единици * 0.00051, 1),
     _xlpm.цена_други, MROUND(MAX(2.5, (_xlpm.единици * 0.0006) * (1 + _xlpm.размножения/10)), 0.5),
_xlpm.цена_форматиране, MAX(MROUND(_xlfn.FLOOR.PRECISE(_xlpm.цели_листа/501, 1) * _xlpm.бр_тир_листа * 0.9, 0.5), 1.5)* IF(I9 &gt; 150, 1.2, 1),
 _xlfn.SWITCH(_xlpm.тип,
    "без", "",
    "стандарт", _xlpm.цена_стандарт,
"форматиране", _xlpm.цена_форматиране,
    "март. Ани", _xlpm.цена_ани,
    "други", _xlpm.цена_други,
    ""
  )
)</f>
        <v>1.5</v>
      </c>
      <c r="H9" s="51" t="s">
        <v>211</v>
      </c>
      <c r="I9" s="191">
        <v>130</v>
      </c>
      <c r="J9" s="217" t="s">
        <v>206</v>
      </c>
      <c r="K9" s="273"/>
      <c r="L9" s="219"/>
      <c r="M9" s="318"/>
      <c r="N9" s="264"/>
      <c r="O9" s="264"/>
      <c r="P9" s="264"/>
      <c r="R9" s="7"/>
    </row>
    <row r="10" spans="1:26">
      <c r="A10" s="294" t="s">
        <v>208</v>
      </c>
      <c r="B10" s="293" t="s">
        <v>27</v>
      </c>
      <c r="C10" s="319" t="s">
        <v>212</v>
      </c>
      <c r="D10" s="264"/>
      <c r="E10" s="105"/>
      <c r="F10" s="262" t="s">
        <v>40</v>
      </c>
      <c r="G10" s="184">
        <f>_xlfn.SWITCH(H10,"да",(0.005*B12)+10.23,"+",(0.01*B12)+13,"")</f>
        <v>16.48</v>
      </c>
      <c r="H10" s="29" t="s">
        <v>26</v>
      </c>
      <c r="I10" s="16"/>
      <c r="J10" s="17"/>
      <c r="K10" s="273"/>
      <c r="L10" s="273"/>
      <c r="M10" s="264"/>
      <c r="N10" s="264"/>
      <c r="O10" s="264"/>
      <c r="P10" s="264"/>
    </row>
    <row r="11" spans="1:26">
      <c r="A11" s="263" t="s">
        <v>6</v>
      </c>
      <c r="B11" s="298" cm="1">
        <f t="array" ref="B11">IF(C11&gt;0, C11, IF(B3="плаки", PlakiCalculate(B5,C5), IF(B4="487х330", "", SmartCalculate(B4,B5,C5,B9,B10))))</f>
        <v>4</v>
      </c>
      <c r="C11" s="291"/>
      <c r="D11" s="264"/>
      <c r="E11" s="276"/>
      <c r="F11" s="116" t="s">
        <v>61</v>
      </c>
      <c r="G11" s="189">
        <f>IF(H11="+",10.23+(2.56*H6)*1.8,IF(H11="без","",IF(H11="","",IF(AND(H11="да",B12&gt;1000),10.23+(2.56*H6),10.23))))</f>
        <v>12.790000000000001</v>
      </c>
      <c r="H11" s="29" t="s">
        <v>26</v>
      </c>
      <c r="I11" s="273"/>
      <c r="J11" s="273"/>
      <c r="K11" s="273"/>
      <c r="L11" s="273"/>
      <c r="M11" s="264"/>
      <c r="N11" s="264"/>
      <c r="O11" s="264"/>
      <c r="P11" s="264"/>
    </row>
    <row r="12" spans="1:26">
      <c r="A12" s="146" t="s">
        <v>2</v>
      </c>
      <c r="B12" s="299">
        <f>IFERROR(IF(B8&gt;1,ROUNDUP(B8/B11,0),""),"")</f>
        <v>1250</v>
      </c>
      <c r="C12" s="264"/>
      <c r="D12" s="264"/>
      <c r="E12" s="262"/>
      <c r="F12" s="262" t="s">
        <v>23</v>
      </c>
      <c r="G12" s="57" t="s">
        <v>171</v>
      </c>
      <c r="H12" s="18"/>
      <c r="I12" s="15"/>
      <c r="J12" s="15"/>
      <c r="K12" s="15"/>
      <c r="L12" s="15"/>
      <c r="M12" s="264"/>
      <c r="N12" s="264"/>
      <c r="O12" s="264"/>
      <c r="P12" s="132"/>
      <c r="U12" s="264"/>
    </row>
    <row r="13" spans="1:26">
      <c r="A13" s="335" t="str">
        <f>TEXT("от "  &amp; B3,"0х0 см" )&amp; " тираж. листа"</f>
        <v>от f.70x100 тираж. листа</v>
      </c>
      <c r="B13" s="28">
        <f>IFERROR(_xlfn.XLOOKUP(B4,таб_Цял_Лист[формати/печат],таб_Цял_Лист[тираж. Листа от лист]),"")</f>
        <v>8</v>
      </c>
      <c r="C13" s="264"/>
      <c r="D13" s="264"/>
      <c r="E13" s="124"/>
      <c r="F13" s="117" t="s">
        <v>136</v>
      </c>
      <c r="G13" s="190" t="str" cm="1">
        <f t="array" ref="G13">_xlfn.LET(  _xlpm.тип_лак, H13,  _xlpm.цена_ед, _xlfn.XLOOKUP(_xlpm.тип_лак, Таблица1[УВ лак/ламиниране], Таблица1[УВ цена €], 0),  _xlpm.подготовка, _xlfn.SWITCH(_xlpm.тип_лак,  "частичен",довърш.!$L$11, "част. дв", довърш.!$L$12, "част.обем",Таблица1[[#This Row],[подготовка €]], "над дв.", довърш.!$L$9, "надпечат.", довърш.!$L$10, 0),  _xlfn.IFS( _xlpm.цена_ед &gt; 0, (B12 + 70) * _xlpm.цена_ед + _xlpm.подготовка, _xlpm.цена_ед = 0, "", _xlpm.цена_ед &lt; 0, 5 * H6 + _xlpm.подготовка ))</f>
        <v/>
      </c>
      <c r="H13" s="50" t="s">
        <v>32</v>
      </c>
      <c r="I13" s="166"/>
      <c r="J13" s="197"/>
      <c r="K13" s="128"/>
      <c r="L13" s="11"/>
      <c r="M13" s="264"/>
      <c r="N13" s="264"/>
      <c r="O13" s="264"/>
      <c r="P13" s="157"/>
    </row>
    <row r="14" spans="1:26">
      <c r="A14" s="146" t="str">
        <f>IFERROR(TEXT(B15*B13-B12, "# ##0"), "") &amp; " | макулатура + тираж"</f>
        <v>110 | макулатура + тираж</v>
      </c>
      <c r="B14" s="160">
        <f>IFERROR(IF(B12&lt;=9000, B8/B11 + IFERROR(IF(OR(AND(B12&lt;=2000, B6+B7&lt;=4), AND(B12&lt;=2500, B9="да")), 25*B6, (B6+B7)*30), ""), IF(B12&gt;9000, B8/B11+(B6+B7)*40, "")), "")</f>
        <v>1350</v>
      </c>
      <c r="C14" s="264"/>
      <c r="D14" s="264"/>
      <c r="E14" s="267"/>
      <c r="F14" s="102" t="s">
        <v>117</v>
      </c>
      <c r="G14" s="185" t="str" cm="1">
        <f t="array" ref="G14">_xlfn.LET(_xlpm.тип_лам, H14, _xlpm.подготовка, _xlfn.XLOOKUP(_xlpm.тип_лам, uv, Таблица1[подготовка €], 0), _xlpm.цена_ед, _xlfn.XLOOKUP(_xlpm.тип_лам, довърш.!$I$2:$I$8, довърш.!$K$2:$K$8, 0), _xlfn.IFS( _xlpm.цена_ед &gt; 0, (B12 + 70) * _xlpm.цена_ед + _xlpm.подготовка, _xlpm.цена_ед = 0, "", _xlpm.цена_ед &lt; 0, _xlpm.подготовка ))</f>
        <v/>
      </c>
      <c r="H14" s="50" t="s">
        <v>32</v>
      </c>
      <c r="I14" s="164"/>
      <c r="J14" s="220"/>
      <c r="K14" s="129"/>
      <c r="L14" s="11"/>
      <c r="N14" s="264"/>
      <c r="O14" s="264"/>
      <c r="P14" s="264"/>
      <c r="U14" s="264"/>
    </row>
    <row r="15" spans="1:26">
      <c r="A15" s="335" t="s">
        <v>3</v>
      </c>
      <c r="B15" s="158">
        <f>IFERROR(IF(B6&gt;0,MROUND(B14/B13,5),""),"")</f>
        <v>170</v>
      </c>
      <c r="C15" s="264"/>
      <c r="D15" s="264"/>
      <c r="E15" s="113"/>
      <c r="F15" s="108" t="s">
        <v>135</v>
      </c>
      <c r="G15" s="296" t="str">
        <f>IF(H15="каландър",ROUNDUP((B12+70)*0.025,0),IF(H15="каландър дв.",ROUNDUP((B12+70)*0.025*2,0),""))</f>
        <v/>
      </c>
      <c r="H15" s="136" t="s">
        <v>171</v>
      </c>
      <c r="I15" s="264"/>
      <c r="J15" s="273"/>
      <c r="K15" s="273"/>
      <c r="L15" s="273"/>
      <c r="M15" s="264"/>
      <c r="N15" s="264"/>
      <c r="O15" s="264"/>
      <c r="P15" s="264"/>
      <c r="R15" s="8"/>
      <c r="U15" s="264"/>
    </row>
    <row r="16" spans="1:26">
      <c r="B16" t="s">
        <v>171</v>
      </c>
      <c r="D16" s="264"/>
      <c r="E16" s="106"/>
      <c r="F16" s="102" t="s">
        <v>25</v>
      </c>
      <c r="G16" s="184" t="str">
        <f>_xlfn.LET(_xlpm.бигове, H16, _xlpm.тир_фира, B8 + 40, _xlpm.удари, IF(ISNUMBER(_xlpm.бигове), B8 * _xlpm.бигове, 0),_xlpm.хиляди_над, IFERROR(_xlfn.FLOOR.PRECISE(_xlpm.удари / 1001, 1), 0), IF(OR(_xlpm.бигове="", _xlpm.бигове="без"), "", IF(_xlpm.удари &lt;= 1000, _xlpm.тир_фира * 0.005 * _xlpm.бигове,MROUND(_xlpm.тир_фира * 0.012 * _xlpm.бигове + 2.56 * _xlpm.хиляди_над, 0.5))))</f>
        <v/>
      </c>
      <c r="H16" s="159" t="s">
        <v>171</v>
      </c>
      <c r="I16" s="151"/>
      <c r="J16" s="151"/>
      <c r="K16" s="264"/>
      <c r="L16" s="264"/>
      <c r="M16" s="163"/>
      <c r="N16" s="264"/>
      <c r="O16" s="264"/>
      <c r="P16" s="264"/>
      <c r="R16" s="9"/>
      <c r="U16" s="280"/>
    </row>
    <row r="17" spans="1:21">
      <c r="B17" t="s">
        <v>171</v>
      </c>
      <c r="D17" s="264"/>
      <c r="E17" s="107"/>
      <c r="F17" s="108" t="s">
        <v>33</v>
      </c>
      <c r="G17" s="189" t="str" cm="1">
        <f t="array" ref="G17">_xlfn.SWITCH(H17, "без", "", "щанцов", 0.031*(B12+50)+8, "½ щанцов", (0.033*(B12+50))*2+8,  "преге", MROUND(0.07*довърш.!B15*довърш.!B16*1.28, 5), "преге+", MROUND(MROUND(0.07*довърш.!B15*довърш.!B16*1.28, 5) * 2, 5.5),  "")</f>
        <v/>
      </c>
      <c r="H17" s="30" t="s">
        <v>171</v>
      </c>
      <c r="I17" s="151"/>
      <c r="J17" s="128"/>
      <c r="K17" s="264"/>
      <c r="L17" s="120"/>
      <c r="M17" s="264"/>
      <c r="N17" s="264"/>
      <c r="O17" s="264"/>
      <c r="P17" s="264"/>
      <c r="U17" s="58"/>
    </row>
    <row r="18" spans="1:21">
      <c r="A18" s="300"/>
      <c r="B18" s="264" t="s">
        <v>171</v>
      </c>
      <c r="C18" s="264"/>
      <c r="D18" s="264"/>
      <c r="E18" s="109"/>
      <c r="F18" s="102" t="s">
        <v>133</v>
      </c>
      <c r="G18" s="186" t="str">
        <f>IF(H17="","",IF(H17="без","",IF(H17&lt;&gt;"без",(G17*H18%),)))</f>
        <v/>
      </c>
      <c r="H18" s="95">
        <v>40</v>
      </c>
      <c r="I18" s="53" t="s">
        <v>124</v>
      </c>
      <c r="J18" s="221"/>
      <c r="K18" s="277"/>
      <c r="L18" s="222"/>
      <c r="M18" s="264"/>
      <c r="N18" s="264"/>
      <c r="O18" s="264"/>
      <c r="P18" s="264"/>
      <c r="U18" s="264"/>
    </row>
    <row r="19" spans="1:21">
      <c r="B19" s="264" t="s">
        <v>171</v>
      </c>
      <c r="C19" s="264"/>
      <c r="D19" s="264"/>
      <c r="E19" s="107"/>
      <c r="F19" s="108" t="s">
        <v>36</v>
      </c>
      <c r="G19" s="228" t="str" cm="1">
        <f t="array" ref="G19">_xlfn.LET(_xlpm.вид, H19,_xlpm.тир, B8,_xlpm.общ_тир, B12,_xlpm.цена_ед, _xlfn.XLOOKUP(_xlpm.вид, Таблица2[лепене], Таблица2[леп/цена €], 0),_xlpm.цена_кубчета, IF(_xlpm.тир &lt;= 1000, 1.5, MROUND(0.1 * _xlpm.общ_тир / 100, 1)),_xlfn.SWITCH(_xlpm.вид,
 "без", "", "каширане", _xlpm.тир * _xlpm.цена_ед + 7.67,"кубчета", _xlpm.цена_кубчета, (_xlpm.тир + 20) * _xlpm.цена_ед))</f>
        <v/>
      </c>
      <c r="H19" s="30" t="s">
        <v>32</v>
      </c>
      <c r="I19" s="131"/>
      <c r="J19" s="132"/>
      <c r="K19" s="135"/>
      <c r="L19" s="278"/>
      <c r="M19" s="264"/>
      <c r="N19" s="212">
        <v>22</v>
      </c>
      <c r="O19" s="288">
        <f>N19*O20</f>
        <v>43.028259999999996</v>
      </c>
      <c r="P19" s="264"/>
      <c r="U19" s="264"/>
    </row>
    <row r="20" spans="1:21" ht="17.25" customHeight="1">
      <c r="A20" s="279"/>
      <c r="B20" s="264" t="s">
        <v>171</v>
      </c>
      <c r="C20" s="264"/>
      <c r="D20" s="264"/>
      <c r="E20" s="109"/>
      <c r="F20" s="102" t="s">
        <v>35</v>
      </c>
      <c r="G20" s="187" t="str" cm="1">
        <f t="array" ref="G20">_xlfn.LET(_xlpm.тир, B8, _xlpm.гънки, H20,_xlpm.тип, I20,_xlfn.SWITCH(_xlpm.тип, "ръчно", (_xlpm.тир + 30) * 0.005 * _xlpm.гънки, "Гатеви", _xlpm.тир * 0.0015 * _xlpm.гънки, "Гад ново", _xlpm.тир * 0.002 * _xlpm.гънки, "" ))</f>
        <v/>
      </c>
      <c r="H20" s="48" t="s">
        <v>171</v>
      </c>
      <c r="I20" s="49" t="s">
        <v>32</v>
      </c>
      <c r="J20" s="130">
        <f>IF(H20 &gt; 0, 10, 0)</f>
        <v>10</v>
      </c>
      <c r="K20" s="264"/>
      <c r="L20" s="278"/>
      <c r="M20" s="264"/>
      <c r="N20" s="289" t="s">
        <v>173</v>
      </c>
      <c r="O20" s="214">
        <v>1.95583</v>
      </c>
      <c r="P20" s="276" t="s">
        <v>174</v>
      </c>
      <c r="U20" s="264"/>
    </row>
    <row r="21" spans="1:21" ht="17.25" customHeight="1">
      <c r="A21" s="264"/>
      <c r="B21" s="264" t="s">
        <v>171</v>
      </c>
      <c r="C21" s="264"/>
      <c r="D21" s="264"/>
      <c r="E21" s="110"/>
      <c r="F21" s="111" t="s">
        <v>96</v>
      </c>
      <c r="G21" s="57" t="s">
        <v>171</v>
      </c>
      <c r="H21" s="124"/>
      <c r="I21" s="19"/>
      <c r="J21" s="273"/>
      <c r="K21" s="273"/>
      <c r="L21" s="273"/>
      <c r="M21" s="264"/>
      <c r="N21" s="213">
        <v>131</v>
      </c>
      <c r="O21" s="205">
        <f>N21/O20</f>
        <v>66.979236436704625</v>
      </c>
      <c r="P21" s="264"/>
      <c r="U21" s="264"/>
    </row>
    <row r="22" spans="1:21" ht="19.5" customHeight="1">
      <c r="A22" s="264"/>
      <c r="B22" s="280" t="s">
        <v>171</v>
      </c>
      <c r="C22" s="280"/>
      <c r="D22" s="281"/>
      <c r="E22" s="109"/>
      <c r="F22" s="102" t="s">
        <v>118</v>
      </c>
      <c r="G22" s="114">
        <f>IFERROR(IF(AND(B7&gt;0,B9="не"),I22*B11*2,I22*B11),"")</f>
        <v>0</v>
      </c>
      <c r="H22" s="48" t="s">
        <v>32</v>
      </c>
      <c r="I22" s="133">
        <f>VLOOKUP(H22,montaj[#All],2)</f>
        <v>0</v>
      </c>
      <c r="J22" s="223"/>
      <c r="K22" s="273"/>
      <c r="L22" s="273"/>
      <c r="M22" s="264"/>
      <c r="N22" s="273"/>
      <c r="O22" s="264"/>
      <c r="P22" s="264"/>
      <c r="R22" s="10"/>
      <c r="U22" s="264"/>
    </row>
    <row r="23" spans="1:21" ht="21" customHeight="1">
      <c r="A23" s="264"/>
      <c r="B23" s="58" t="s">
        <v>171</v>
      </c>
      <c r="C23" s="58"/>
      <c r="D23" s="281"/>
      <c r="E23" s="338" t="s">
        <v>91</v>
      </c>
      <c r="F23" s="339"/>
      <c r="G23" s="239" t="str">
        <f>_xlfn.LET( _xlpm.вариант, H23,  _xlpm.тир, B12,  _xlpm.единични, B8,  _xlpm.размножения, B11,  _xlpm.лимит_макс, 30, _xlpm.лимит_символичен, 1, _xlpm.подготовка, IF(OR(_xlpm.вариант="да", _xlpm.вариант="&lt;1000"), MAX(0.5, ROUNDUP(_xlpm.тир/1000, 0) * 0.5), 0), _xlpm.сметка_пакетиране, _xlfn.SWITCH(_xlpm.вариант, "да", IF(AND(_xlpm.тир &gt;= 500, _xlpm.размножения &gt; 2), MROUND(_xlpm.тир, 1000)/1000 * 0.5, MROUND(_xlpm.тир, 100)/2500 * 2.5), "&lt;1000", MIN(_xlpm.лимит_символичен, (MROUND(_xlpm.тир, 100)/100 * 0.5) + (_xlfn.FLOOR.PRECISE(_xlpm.единични, 100)/100 * 0.4)),0 ),IF(_xlpm.вариант="не", "", _xlpm.подготовка + MIN(_xlpm.сметка_пакетиране, _xlpm.лимит_макс)))</f>
        <v/>
      </c>
      <c r="H23" s="55" t="s">
        <v>27</v>
      </c>
      <c r="I23" s="282"/>
      <c r="J23" s="135"/>
      <c r="K23" s="161"/>
      <c r="L23" s="273"/>
      <c r="M23" s="264"/>
      <c r="N23" s="283"/>
      <c r="O23" s="264"/>
      <c r="P23" s="264"/>
      <c r="R23" s="10"/>
      <c r="U23" s="264"/>
    </row>
    <row r="24" spans="1:21">
      <c r="A24" s="264"/>
      <c r="B24" s="264" t="s">
        <v>171</v>
      </c>
      <c r="C24" s="264"/>
      <c r="D24" s="264"/>
      <c r="E24" s="109"/>
      <c r="F24" s="112" t="s">
        <v>55</v>
      </c>
      <c r="G24" s="56" t="s">
        <v>171</v>
      </c>
      <c r="H24" s="20" t="s">
        <v>123</v>
      </c>
      <c r="I24" s="264"/>
      <c r="J24" s="21" t="s">
        <v>3</v>
      </c>
      <c r="K24" s="284"/>
      <c r="L24" s="264"/>
      <c r="M24" s="264"/>
      <c r="N24" s="264"/>
      <c r="O24" s="264"/>
      <c r="P24" s="264"/>
    </row>
    <row r="25" spans="1:21">
      <c r="A25" s="264"/>
      <c r="B25" s="264" t="s">
        <v>171</v>
      </c>
      <c r="C25" s="264"/>
      <c r="D25" s="264"/>
      <c r="E25" s="113"/>
      <c r="F25" s="108" t="s">
        <v>122</v>
      </c>
      <c r="G25" s="125" cm="1">
        <f t="array" ref="G25">_xlfn.LET(_xlpm.материал, I25, _xlpm.листа, J25, _xlpm.цена_ед, _xlfn.SWITCH(_xlpm.материал, "вестник", 0.028, "друг", 0.3,0), _xlfn.CEILING.MATH(_xlpm.листа * _xlpm.цена_ед, 0.5))</f>
        <v>0</v>
      </c>
      <c r="H25" s="297" t="s">
        <v>171</v>
      </c>
      <c r="I25" s="230" t="s">
        <v>32</v>
      </c>
      <c r="J25" s="231">
        <f>IF(OR(H25=0, I25="без", B13=0), 0, ROUNDUP((B12 / H25) / B13, 0))</f>
        <v>0</v>
      </c>
      <c r="K25" s="229"/>
      <c r="L25" s="264"/>
      <c r="M25" s="96"/>
      <c r="N25" s="264"/>
      <c r="O25" s="264"/>
      <c r="P25" s="264"/>
      <c r="U25" s="2"/>
    </row>
    <row r="26" spans="1:21">
      <c r="A26" s="264"/>
      <c r="B26" s="264" t="s">
        <v>171</v>
      </c>
      <c r="C26" s="264"/>
      <c r="D26" s="264"/>
      <c r="E26" s="109"/>
      <c r="F26" s="103" t="s">
        <v>39</v>
      </c>
      <c r="G26" s="126" t="str">
        <f>IF(H26="заобл.",(B8+40)/25.56*0.01+2.56,IF(H26="замба",(B8+40)*0.0021+2.56,""))</f>
        <v/>
      </c>
      <c r="H26" s="99" t="s">
        <v>27</v>
      </c>
      <c r="I26" s="134" t="s">
        <v>164</v>
      </c>
      <c r="J26" s="178" t="s">
        <v>165</v>
      </c>
      <c r="K26" s="264"/>
      <c r="L26" s="264"/>
      <c r="M26" s="264"/>
      <c r="N26" s="285"/>
      <c r="O26" s="264"/>
      <c r="P26" s="264"/>
    </row>
    <row r="27" spans="1:21">
      <c r="A27" s="264"/>
      <c r="B27" s="264" t="s">
        <v>171</v>
      </c>
      <c r="C27" s="264"/>
      <c r="D27" s="264"/>
      <c r="E27" s="113"/>
      <c r="F27" s="108" t="s">
        <v>134</v>
      </c>
      <c r="G27" s="165">
        <f>IF(H27="да",7.67*I27/100*J27+1,IF(H27="доставка+",7.67*I27/100*J27+2.3,""))</f>
        <v>2.3230750000000002</v>
      </c>
      <c r="H27" s="30" t="s">
        <v>26</v>
      </c>
      <c r="I27" s="180">
        <v>15</v>
      </c>
      <c r="J27" s="179">
        <v>1.1499999999999999</v>
      </c>
      <c r="K27" s="264"/>
      <c r="L27" s="264"/>
      <c r="M27" s="264"/>
      <c r="N27" s="264"/>
      <c r="O27" s="264"/>
      <c r="P27" s="264"/>
    </row>
    <row r="28" spans="1:21">
      <c r="B28" s="264" t="s">
        <v>171</v>
      </c>
      <c r="C28" s="264"/>
      <c r="D28" s="11"/>
      <c r="E28" s="109"/>
      <c r="F28" s="103" t="s">
        <v>166</v>
      </c>
      <c r="G28" s="216">
        <f>IF(H28&gt;0,ROUNDUP(SUM(G4:G7,G9:G12,G16,G18:G20,G22:G26),0)*H28%,0)</f>
        <v>29.6</v>
      </c>
      <c r="H28" s="100">
        <v>40</v>
      </c>
      <c r="I28" s="53" t="s">
        <v>124</v>
      </c>
      <c r="J28" s="301" t="str">
        <f>IF(H28&lt;&gt;40, "⚠️ ВНИМАНИЕ: Процентът е променен!", "")</f>
        <v/>
      </c>
      <c r="K28" s="264"/>
      <c r="L28" s="264"/>
      <c r="M28" s="264"/>
      <c r="N28" s="264"/>
      <c r="O28" s="264"/>
      <c r="P28" s="264"/>
    </row>
    <row r="29" spans="1:21">
      <c r="A29" s="264"/>
      <c r="B29" s="264" t="s">
        <v>171</v>
      </c>
      <c r="C29" s="264"/>
      <c r="D29" s="264"/>
      <c r="E29" s="264"/>
      <c r="F29" s="264"/>
      <c r="G29" s="264"/>
      <c r="H29" s="264"/>
      <c r="I29" s="264"/>
      <c r="J29" s="264"/>
      <c r="K29" s="264"/>
      <c r="L29" s="264"/>
      <c r="M29" s="96"/>
      <c r="N29" s="264"/>
      <c r="O29" s="264"/>
      <c r="P29" s="264"/>
    </row>
    <row r="30" spans="1:21">
      <c r="A30" s="264"/>
      <c r="B30" s="264" t="s">
        <v>171</v>
      </c>
      <c r="C30" s="264"/>
      <c r="D30" s="264"/>
      <c r="E30" s="264"/>
      <c r="F30" s="14" t="s">
        <v>9</v>
      </c>
      <c r="G30" s="201">
        <f>ROUNDUP(SUM(G3:G$27)+G28,1)</f>
        <v>133.69999999999999</v>
      </c>
      <c r="H30" s="264"/>
      <c r="I30" s="264"/>
      <c r="J30" s="264"/>
      <c r="K30" s="264"/>
      <c r="L30" s="264"/>
      <c r="M30" s="264"/>
      <c r="N30" s="264"/>
      <c r="O30" s="264"/>
      <c r="P30" s="264"/>
    </row>
    <row r="31" spans="1:21" ht="15.75" thickBot="1">
      <c r="A31" s="264"/>
      <c r="B31" s="264" t="s">
        <v>171</v>
      </c>
      <c r="C31" s="264"/>
      <c r="D31" s="264"/>
      <c r="E31" s="264"/>
      <c r="F31" s="32" t="s">
        <v>73</v>
      </c>
      <c r="G31" s="202">
        <f>IFERROR(G30/B8,"")</f>
        <v>2.6739999999999996E-2</v>
      </c>
      <c r="H31" s="264"/>
      <c r="I31" s="264"/>
      <c r="J31" s="11"/>
      <c r="K31" s="11"/>
      <c r="L31" s="98"/>
      <c r="M31" s="264"/>
      <c r="N31" s="97"/>
      <c r="O31" s="264"/>
      <c r="P31" s="264"/>
    </row>
    <row r="32" spans="1:21" ht="15.75" thickTop="1">
      <c r="A32" s="264"/>
      <c r="B32" s="264" t="s">
        <v>171</v>
      </c>
      <c r="C32" s="264"/>
      <c r="D32" s="264"/>
      <c r="E32" s="264"/>
      <c r="F32" s="33" t="s">
        <v>115</v>
      </c>
      <c r="G32" s="203">
        <f>G30-G33</f>
        <v>104.57692499999999</v>
      </c>
      <c r="H32" s="264"/>
      <c r="I32" s="264" t="s">
        <v>95</v>
      </c>
      <c r="J32" s="286"/>
      <c r="K32" s="264"/>
      <c r="L32" s="264"/>
      <c r="M32" s="264"/>
      <c r="N32" s="264"/>
      <c r="O32" s="264"/>
      <c r="P32" s="264"/>
    </row>
    <row r="33" spans="1:16">
      <c r="A33" s="264"/>
      <c r="B33" s="264" t="s">
        <v>171</v>
      </c>
      <c r="C33" s="264"/>
      <c r="D33" s="264"/>
      <c r="E33" s="264"/>
      <c r="F33" s="33" t="s">
        <v>116</v>
      </c>
      <c r="G33" s="204">
        <f>IFERROR(SUM(G3, G13:G15, G17, G21, G24, G25, G27) + IF(AND(ISNUMBER(G8), G8&gt;0),I8*2.45, 0), 0)</f>
        <v>29.123075</v>
      </c>
      <c r="H33" s="264"/>
      <c r="I33" s="264"/>
      <c r="J33" s="264"/>
      <c r="K33" s="264"/>
      <c r="L33" s="264"/>
      <c r="M33" s="264"/>
      <c r="N33" s="264"/>
      <c r="O33" s="264"/>
      <c r="P33" s="264"/>
    </row>
    <row r="34" spans="1:16">
      <c r="A34" s="101"/>
      <c r="B34" s="264" t="s">
        <v>171</v>
      </c>
      <c r="C34" s="264"/>
      <c r="D34" s="264"/>
      <c r="E34" s="264"/>
      <c r="F34" s="101"/>
      <c r="G34" s="264"/>
      <c r="H34" s="264"/>
      <c r="I34" s="264"/>
      <c r="J34" s="264"/>
      <c r="K34" s="264"/>
      <c r="L34" s="264"/>
      <c r="M34" s="287"/>
      <c r="N34" s="264"/>
      <c r="O34" s="264"/>
      <c r="P34" s="264"/>
    </row>
    <row r="35" spans="1:16">
      <c r="B35" t="s">
        <v>171</v>
      </c>
      <c r="M35" s="5"/>
    </row>
    <row r="36" spans="1:16">
      <c r="B36" t="s">
        <v>171</v>
      </c>
      <c r="K36" s="121"/>
      <c r="L36" s="7"/>
      <c r="M36" s="6"/>
    </row>
    <row r="37" spans="1:16">
      <c r="B37" t="s">
        <v>171</v>
      </c>
      <c r="L37" s="122"/>
    </row>
    <row r="38" spans="1:16">
      <c r="B38" t="s">
        <v>171</v>
      </c>
      <c r="L38" s="123"/>
    </row>
    <row r="39" spans="1:16">
      <c r="B39" t="s">
        <v>171</v>
      </c>
    </row>
    <row r="40" spans="1:16">
      <c r="B40" t="s">
        <v>171</v>
      </c>
    </row>
    <row r="41" spans="1:16">
      <c r="B41" t="s">
        <v>171</v>
      </c>
    </row>
    <row r="42" spans="1:16">
      <c r="B42" t="s">
        <v>171</v>
      </c>
    </row>
    <row r="43" spans="1:16">
      <c r="B43" t="s">
        <v>171</v>
      </c>
    </row>
    <row r="44" spans="1:16">
      <c r="B44" t="s">
        <v>171</v>
      </c>
    </row>
    <row r="45" spans="1:16">
      <c r="B45" t="s">
        <v>171</v>
      </c>
    </row>
    <row r="46" spans="1:16">
      <c r="B46" t="s">
        <v>171</v>
      </c>
    </row>
    <row r="47" spans="1:16">
      <c r="B47" t="s">
        <v>171</v>
      </c>
    </row>
    <row r="48" spans="1:16">
      <c r="B48" t="s">
        <v>171</v>
      </c>
    </row>
    <row r="49" spans="2:2">
      <c r="B49" t="s">
        <v>171</v>
      </c>
    </row>
    <row r="50" spans="2:2">
      <c r="B50" t="s">
        <v>171</v>
      </c>
    </row>
    <row r="51" spans="2:2">
      <c r="B51" t="s">
        <v>171</v>
      </c>
    </row>
    <row r="52" spans="2:2">
      <c r="B52" t="s">
        <v>171</v>
      </c>
    </row>
    <row r="53" spans="2:2">
      <c r="B53" t="s">
        <v>171</v>
      </c>
    </row>
    <row r="54" spans="2:2">
      <c r="B54" t="s">
        <v>171</v>
      </c>
    </row>
    <row r="55" spans="2:2">
      <c r="B55" t="s">
        <v>171</v>
      </c>
    </row>
    <row r="56" spans="2:2">
      <c r="B56" t="s">
        <v>171</v>
      </c>
    </row>
    <row r="57" spans="2:2">
      <c r="B57" t="s">
        <v>171</v>
      </c>
    </row>
    <row r="58" spans="2:2">
      <c r="B58" t="s">
        <v>171</v>
      </c>
    </row>
    <row r="59" spans="2:2">
      <c r="B59" t="s">
        <v>171</v>
      </c>
    </row>
    <row r="60" spans="2:2">
      <c r="B60" t="s">
        <v>171</v>
      </c>
    </row>
    <row r="61" spans="2:2">
      <c r="B61" t="s">
        <v>171</v>
      </c>
    </row>
    <row r="62" spans="2:2">
      <c r="B62" t="s">
        <v>171</v>
      </c>
    </row>
    <row r="63" spans="2:2">
      <c r="B63" t="s">
        <v>171</v>
      </c>
    </row>
    <row r="64" spans="2:2">
      <c r="B64" t="s">
        <v>171</v>
      </c>
    </row>
    <row r="65" spans="2:2">
      <c r="B65" t="s">
        <v>171</v>
      </c>
    </row>
    <row r="66" spans="2:2">
      <c r="B66" t="s">
        <v>171</v>
      </c>
    </row>
    <row r="67" spans="2:2">
      <c r="B67" t="s">
        <v>171</v>
      </c>
    </row>
    <row r="68" spans="2:2">
      <c r="B68" t="s">
        <v>171</v>
      </c>
    </row>
    <row r="69" spans="2:2">
      <c r="B69" t="s">
        <v>171</v>
      </c>
    </row>
    <row r="70" spans="2:2">
      <c r="B70" t="s">
        <v>171</v>
      </c>
    </row>
    <row r="71" spans="2:2">
      <c r="B71" t="s">
        <v>171</v>
      </c>
    </row>
    <row r="72" spans="2:2">
      <c r="B72" t="s">
        <v>171</v>
      </c>
    </row>
    <row r="73" spans="2:2">
      <c r="B73" t="s">
        <v>171</v>
      </c>
    </row>
    <row r="74" spans="2:2">
      <c r="B74" t="s">
        <v>171</v>
      </c>
    </row>
    <row r="75" spans="2:2">
      <c r="B75" t="s">
        <v>171</v>
      </c>
    </row>
    <row r="76" spans="2:2">
      <c r="B76" t="s">
        <v>171</v>
      </c>
    </row>
    <row r="77" spans="2:2">
      <c r="B77" t="s">
        <v>171</v>
      </c>
    </row>
    <row r="78" spans="2:2">
      <c r="B78" t="s">
        <v>171</v>
      </c>
    </row>
    <row r="79" spans="2:2">
      <c r="B79" t="s">
        <v>171</v>
      </c>
    </row>
    <row r="80" spans="2:2">
      <c r="B80" t="s">
        <v>171</v>
      </c>
    </row>
    <row r="81" spans="2:2">
      <c r="B81" t="s">
        <v>171</v>
      </c>
    </row>
    <row r="82" spans="2:2">
      <c r="B82" t="s">
        <v>171</v>
      </c>
    </row>
    <row r="83" spans="2:2">
      <c r="B83" t="s">
        <v>171</v>
      </c>
    </row>
    <row r="84" spans="2:2">
      <c r="B84" t="s">
        <v>171</v>
      </c>
    </row>
    <row r="85" spans="2:2">
      <c r="B85" t="s">
        <v>171</v>
      </c>
    </row>
    <row r="86" spans="2:2">
      <c r="B86" t="s">
        <v>171</v>
      </c>
    </row>
    <row r="87" spans="2:2">
      <c r="B87" t="s">
        <v>171</v>
      </c>
    </row>
    <row r="88" spans="2:2">
      <c r="B88" t="s">
        <v>171</v>
      </c>
    </row>
    <row r="89" spans="2:2">
      <c r="B89" t="s">
        <v>171</v>
      </c>
    </row>
    <row r="90" spans="2:2">
      <c r="B90" t="s">
        <v>171</v>
      </c>
    </row>
    <row r="91" spans="2:2">
      <c r="B91" t="s">
        <v>171</v>
      </c>
    </row>
  </sheetData>
  <dataConsolidate function="varp">
    <dataRefs count="1">
      <dataRef ref="C7" sheet="черно+"/>
    </dataRefs>
  </dataConsolidate>
  <mergeCells count="6">
    <mergeCell ref="A1:C1"/>
    <mergeCell ref="E5:F5"/>
    <mergeCell ref="E23:F23"/>
    <mergeCell ref="E2:F2"/>
    <mergeCell ref="E4:F4"/>
    <mergeCell ref="E1:I1"/>
  </mergeCells>
  <phoneticPr fontId="89" type="noConversion"/>
  <conditionalFormatting sqref="H13">
    <cfRule type="containsText" dxfId="39" priority="40" operator="containsText" text="част">
      <formula>NOT(ISERROR(SEARCH("част",H13)))</formula>
    </cfRule>
  </conditionalFormatting>
  <conditionalFormatting sqref="F21">
    <cfRule type="expression" dxfId="38" priority="16">
      <formula>SEARCH($H$13,"част. дв**")</formula>
    </cfRule>
    <cfRule type="expression" dxfId="37" priority="17">
      <formula>SEARCH($H$13,"част.обем*")</formula>
    </cfRule>
    <cfRule type="expression" dxfId="36" priority="18">
      <formula>SEARCH($H$13,"частичен*")</formula>
    </cfRule>
  </conditionalFormatting>
  <conditionalFormatting sqref="H15">
    <cfRule type="expression" dxfId="35" priority="13">
      <formula>H14&lt;&gt;"без"</formula>
    </cfRule>
  </conditionalFormatting>
  <conditionalFormatting sqref="B4 U12">
    <cfRule type="expression" dxfId="34" priority="71">
      <formula>IF($H$14&lt;&gt;"без",TRUE,FALSE)</formula>
    </cfRule>
    <cfRule type="expression" dxfId="33" priority="72">
      <formula>IF($H$13&lt;&gt;"без",TRUE,FALSE)</formula>
    </cfRule>
  </conditionalFormatting>
  <conditionalFormatting sqref="H28">
    <cfRule type="expression" dxfId="32" priority="8">
      <formula>$H$28&lt;&gt;40</formula>
    </cfRule>
  </conditionalFormatting>
  <conditionalFormatting sqref="I9">
    <cfRule type="expression" dxfId="31" priority="7">
      <formula>AND($H$9="форматиране",$I$9="")</formula>
    </cfRule>
  </conditionalFormatting>
  <conditionalFormatting sqref="C11">
    <cfRule type="expression" dxfId="30" priority="1">
      <formula>AND(C11&gt;0, C11&lt;&gt;"")</formula>
    </cfRule>
  </conditionalFormatting>
  <conditionalFormatting sqref="H5">
    <cfRule type="cellIs" dxfId="29" priority="75" operator="equal">
      <formula>$B$9</formula>
    </cfRule>
  </conditionalFormatting>
  <dataValidations xWindow="519" yWindow="635" count="35">
    <dataValidation type="list" allowBlank="1" showInputMessage="1" showErrorMessage="1" prompt="лепене" sqref="H19" xr:uid="{00000000-0002-0000-0000-000001000000}">
      <formula1>lepene</formula1>
    </dataValidation>
    <dataValidation errorStyle="information" allowBlank="1" showInputMessage="1" showErrorMessage="1" sqref="D22:D23" xr:uid="{00000000-0002-0000-0000-000002000000}"/>
    <dataValidation showInputMessage="1" showErrorMessage="1" prompt="цена без ддс" sqref="H3" xr:uid="{00000000-0002-0000-0000-000003000000}"/>
    <dataValidation type="list" errorStyle="information" allowBlank="1" showInputMessage="1" showErrorMessage="1" prompt="ддс" sqref="I3" xr:uid="{00000000-0002-0000-0000-000004000000}">
      <formula1>"със,без"</formula1>
    </dataValidation>
    <dataValidation type="list" allowBlank="1" showInputMessage="1" showErrorMessage="1" sqref="U16 S14 B6" xr:uid="{00000000-0002-0000-0000-000005000000}">
      <formula1>"1,2,3,4,5,6,7,8,9,10,11,12,13,0"</formula1>
    </dataValidation>
    <dataValidation type="list" allowBlank="1" showInputMessage="1" showErrorMessage="1" prompt="0.01 Euro за удар + 2,56 Euro подготовка на машината" sqref="H26" xr:uid="{00000000-0002-0000-0000-000006000000}">
      <formula1>"заобл.,не,замба"</formula1>
    </dataValidation>
    <dataValidation type="list" allowBlank="1" showInputMessage="1" showErrorMessage="1" prompt="биговане_x000a_1 биг_x000a_2 бига_x000a_3 бига_x000a_4 бига" sqref="H16" xr:uid="{00000000-0002-0000-0000-000007000000}">
      <formula1>"без,1,2,3,4,5,6"</formula1>
    </dataValidation>
    <dataValidation type="list" allowBlank="1" showInputMessage="1" showErrorMessage="1" sqref="U17 T14 B7" xr:uid="{00000000-0002-0000-0000-000008000000}">
      <formula1>"0,1,2,3,4,5,6,7,8"</formula1>
    </dataValidation>
    <dataValidation type="list" errorStyle="information" allowBlank="1" showInputMessage="1" showErrorMessage="1" prompt="избери" sqref="H9" xr:uid="{00000000-0002-0000-0000-000009000000}">
      <formula1>"стандарт,форматиране,март. Ани,без,други"</formula1>
    </dataValidation>
    <dataValidation type="list" allowBlank="1" showInputMessage="1" showErrorMessage="1" prompt="данни за преге_x000a_взимат се от довършителни!!" sqref="H17" xr:uid="{00000000-0002-0000-0000-00000A000000}">
      <formula1>"без,щанцов,½ щанцов,преге,преге+"</formula1>
    </dataValidation>
    <dataValidation type="list" allowBlank="1" showInputMessage="1" showErrorMessage="1" prompt="въведи брой гънки" sqref="H20" xr:uid="{00000000-0002-0000-0000-00000B000000}">
      <formula1>"0,1,2,3,4,5,6"</formula1>
    </dataValidation>
    <dataValidation type="list" allowBlank="1" showInputMessage="1" showErrorMessage="1" sqref="I20" xr:uid="{00000000-0002-0000-0000-00000C000000}">
      <formula1>"ръчно,без,Гатеви,Гад ново"</formula1>
    </dataValidation>
    <dataValidation type="list" allowBlank="1" showInputMessage="1" showErrorMessage="1" sqref="U7 S8 B3" xr:uid="{00000000-0002-0000-0000-00000D000000}">
      <formula1>formati</formula1>
    </dataValidation>
    <dataValidation type="list" allowBlank="1" showInputMessage="1" showErrorMessage="1" sqref="H11" xr:uid="{00000000-0002-0000-0000-00000E000000}">
      <formula1>"без,да,+"</formula1>
    </dataValidation>
    <dataValidation type="list" allowBlank="1" showInputMessage="1" showErrorMessage="1" prompt="номерация:_x000a_- стандарт - 0,001 лв_x000a_- + номер. - повече номератори - 0,002" sqref="H10" xr:uid="{00000000-0002-0000-0000-00000F000000}">
      <formula1>"без,да,+"</formula1>
    </dataValidation>
    <dataValidation type="list" allowBlank="1" showInputMessage="1" showErrorMessage="1" sqref="H8" xr:uid="{00000000-0002-0000-0000-000010000000}">
      <formula1>"от клиент,да"</formula1>
    </dataValidation>
    <dataValidation type="list" allowBlank="1" showInputMessage="1" showErrorMessage="1" sqref="A22" xr:uid="{00000000-0002-0000-0000-000011000000}">
      <formula1>"кочани,бройки"</formula1>
    </dataValidation>
    <dataValidation type="list" allowBlank="1" showInputMessage="1" showErrorMessage="1" sqref="H23" xr:uid="{00000000-0002-0000-0000-000012000000}">
      <formula1>"да,не,&lt;1000"</formula1>
    </dataValidation>
    <dataValidation type="list" allowBlank="1" showInputMessage="1" showErrorMessage="1" sqref="H22" xr:uid="{00000000-0002-0000-0000-000013000000}">
      <formula1>el.montaj</formula1>
    </dataValidation>
    <dataValidation type="list" allowBlank="1" showInputMessage="1" showErrorMessage="1" sqref="I25" xr:uid="{00000000-0002-0000-0000-000015000000}">
      <formula1>"без,вестник,друг"</formula1>
    </dataValidation>
    <dataValidation allowBlank="1" showInputMessage="1" showErrorMessage="1" prompt="въведи цифра" sqref="H25" xr:uid="{00000000-0002-0000-0000-000016000000}"/>
    <dataValidation type="list" allowBlank="1" showInputMessage="1" showErrorMessage="1" prompt="ламиниране" sqref="H13" xr:uid="{00000000-0002-0000-0000-000017000000}">
      <formula1>uv</formula1>
    </dataValidation>
    <dataValidation type="decimal" errorStyle="information" operator="greaterThanOrEqual" allowBlank="1" showInputMessage="1" showErrorMessage="1" prompt="Въведи % оскъпяване или остави 0" sqref="H28" xr:uid="{00000000-0002-0000-0000-000018000000}">
      <formula1>0</formula1>
    </dataValidation>
    <dataValidation type="whole" errorStyle="information" operator="greaterThanOrEqual" allowBlank="1" showInputMessage="1" showErrorMessage="1" prompt="Въведи %  или остави 0" sqref="H18" xr:uid="{00000000-0002-0000-0000-000019000000}">
      <formula1>0</formula1>
    </dataValidation>
    <dataValidation errorStyle="information" operator="greaterThanOrEqual" allowBlank="1" showInputMessage="1" showErrorMessage="1" sqref="J27" xr:uid="{00000000-0002-0000-0000-00001A000000}"/>
    <dataValidation type="list" allowBlank="1" showInputMessage="1" showErrorMessage="1" prompt="транспорт за хартия" sqref="H27" xr:uid="{00000000-0002-0000-0000-00001B000000}">
      <formula1>"да,не,доставка+"</formula1>
    </dataValidation>
    <dataValidation type="list" allowBlank="1" showInputMessage="1" showErrorMessage="1" sqref="H15" xr:uid="{00000000-0002-0000-0000-00001C000000}">
      <formula1>"каландър,каландър дв.,без к"</formula1>
    </dataValidation>
    <dataValidation allowBlank="1" showErrorMessage="1" sqref="I17" xr:uid="{00000000-0002-0000-0000-00001D000000}"/>
    <dataValidation allowBlank="1" showInputMessage="1" showErrorMessage="1" prompt="може да се използва приложението за изчисление на размножения..." sqref="U15 T12 B11" xr:uid="{1AFABC4A-1A82-412E-9B63-B77124761E0B}"/>
    <dataValidation type="list" allowBlank="1" showInputMessage="1" showErrorMessage="1" sqref="U12 T8 B4" xr:uid="{00000000-0002-0000-0000-000014000000}">
      <formula1>INDIRECT($B$3)</formula1>
    </dataValidation>
    <dataValidation type="list" allowBlank="1" showInputMessage="1" showErrorMessage="1" sqref="H7" xr:uid="{7A772803-8F68-43A1-B108-30B63223F95F}">
      <formula1>"да, без"</formula1>
    </dataValidation>
    <dataValidation allowBlank="1" showInputMessage="1" showErrorMessage="1" prompt="  // Стандартно рязане: смятаме го на база бройки (C8)_x000a_  // 0,0005 е малка цена за бройка, за да не &quot;излита&quot; цената твърде високо_x000a_// Логика &quot;Други&quot; (Сложно): _x000a_// Тук единичните бройки тежат най-много, умножени по коефициента на сложност (размноженията)_x000a_" sqref="G9" xr:uid="{35C5D5F2-7D76-4E4A-8389-A862FA33E977}"/>
    <dataValidation type="list" allowBlank="1" showInputMessage="1" showErrorMessage="1" sqref="N5 U14 T11 B10" xr:uid="{B5F36911-314A-4B16-9CBF-14A8C9CC6E71}">
      <formula1>"да,не,"</formula1>
    </dataValidation>
    <dataValidation type="decimal" operator="greaterThanOrEqual" allowBlank="1" showInputMessage="1" showErrorMessage="1" error="може да се въвеждат само цифри!" prompt="може да се въвеждат само цифри!" sqref="L4:M4 B5:C5 S10:T10" xr:uid="{B39E2C5A-CE1E-417B-9F84-0DE3D46934DD}">
      <formula1>0</formula1>
    </dataValidation>
    <dataValidation allowBlank="1" showInputMessage="1" showErrorMessage="1" prompt="когато имаме различни формати за рязане, въвеждаме ръчно броя на размноженията..." sqref="C11" xr:uid="{B4B0FF4B-D106-4C62-AECD-0EB5C9B9C77A}"/>
  </dataValidations>
  <pageMargins left="0.7" right="0.7" top="0.75" bottom="0.75" header="0.3" footer="0.3"/>
  <pageSetup paperSize="256" scale="52" fitToWidth="0" fitToHeight="0" orientation="landscape" horizontalDpi="4294967293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19" yWindow="635" count="2">
        <x14:dataValidation type="list" allowBlank="1" showInputMessage="1" showErrorMessage="1" prompt="ламиниране" xr:uid="{00000000-0002-0000-0000-00001E000000}">
          <x14:formula1>
            <xm:f>довърш.!$I$2:$I$8</xm:f>
          </x14:formula1>
          <xm:sqref>H14</xm:sqref>
        </x14:dataValidation>
        <x14:dataValidation type="list" allowBlank="1" showInputMessage="1" showErrorMessage="1" xr:uid="{00000000-0002-0000-0000-00001F000000}">
          <x14:formula1>
            <xm:f>довърш.!$C$5:$C$8</xm:f>
          </x14:formula1>
          <xm:sqref>U19 T16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>
    <tabColor theme="5" tint="0.79998168889431442"/>
  </sheetPr>
  <dimension ref="A1:K47"/>
  <sheetViews>
    <sheetView zoomScaleNormal="100" workbookViewId="0">
      <selection activeCell="E14" sqref="E14"/>
    </sheetView>
  </sheetViews>
  <sheetFormatPr defaultColWidth="9.140625" defaultRowHeight="12.75"/>
  <cols>
    <col min="1" max="3" width="9.140625" style="34"/>
    <col min="4" max="4" width="6" style="34" customWidth="1"/>
    <col min="5" max="6" width="9.140625" style="34"/>
    <col min="7" max="7" width="1.7109375" style="34" customWidth="1"/>
    <col min="8" max="9" width="9.140625" style="34"/>
    <col min="10" max="10" width="9.7109375" style="34" customWidth="1"/>
    <col min="11" max="16384" width="9.140625" style="34"/>
  </cols>
  <sheetData>
    <row r="1" spans="1:11" ht="38.25">
      <c r="A1" s="47" t="s">
        <v>50</v>
      </c>
      <c r="B1" s="47" t="s">
        <v>51</v>
      </c>
      <c r="C1" s="47" t="s">
        <v>49</v>
      </c>
      <c r="E1" s="124"/>
      <c r="F1" s="124"/>
      <c r="G1" s="140"/>
    </row>
    <row r="2" spans="1:11" ht="15" customHeight="1">
      <c r="A2" s="35" t="s">
        <v>44</v>
      </c>
      <c r="B2" s="36" t="s">
        <v>106</v>
      </c>
      <c r="C2" s="37">
        <v>4</v>
      </c>
      <c r="D2" s="4"/>
      <c r="E2" s="139" t="s">
        <v>200</v>
      </c>
      <c r="F2" s="144" t="s">
        <v>144</v>
      </c>
      <c r="G2" s="142"/>
      <c r="H2" s="34" t="s">
        <v>210</v>
      </c>
      <c r="I2" s="138" t="s">
        <v>145</v>
      </c>
    </row>
    <row r="3" spans="1:11" ht="15">
      <c r="A3" s="35"/>
      <c r="B3" s="36" t="s">
        <v>47</v>
      </c>
      <c r="C3" s="37">
        <v>8</v>
      </c>
      <c r="D3" s="4"/>
      <c r="E3" s="139" t="s">
        <v>67</v>
      </c>
      <c r="F3" s="144" t="s">
        <v>4</v>
      </c>
      <c r="G3" s="140"/>
      <c r="H3" s="240"/>
      <c r="I3" s="141" cm="1">
        <f t="array" ref="I3">IF(H3&gt;0, H3, IF(F2="плаки", PlakiCalculate(H5,I5), IF(F3="487х330", "", SmartCalculate(F3,H5,I5,F4,F6))))</f>
        <v>1</v>
      </c>
      <c r="J3"/>
      <c r="K3"/>
    </row>
    <row r="4" spans="1:11" ht="15">
      <c r="A4" s="35"/>
      <c r="B4" s="36" t="s">
        <v>102</v>
      </c>
      <c r="C4" s="37">
        <v>12</v>
      </c>
      <c r="D4" s="4"/>
      <c r="E4" s="139" t="s">
        <v>20</v>
      </c>
      <c r="F4" s="137" t="s">
        <v>27</v>
      </c>
      <c r="G4" s="140"/>
      <c r="H4" s="243" t="s">
        <v>168</v>
      </c>
      <c r="I4" s="243" t="s">
        <v>168</v>
      </c>
    </row>
    <row r="5" spans="1:11" ht="15">
      <c r="A5" s="35"/>
      <c r="B5" s="36" t="s">
        <v>108</v>
      </c>
      <c r="C5" s="37">
        <v>16</v>
      </c>
      <c r="D5" s="4"/>
      <c r="E5" s="139" t="s">
        <v>68</v>
      </c>
      <c r="F5" s="227">
        <f>_xlfn.XLOOKUP(F3,таб_Цял_Лист[формати/печат],таб_Цял_Лист[тираж. Листа от лист])</f>
        <v>4</v>
      </c>
      <c r="G5" s="140"/>
      <c r="H5" s="309">
        <v>420</v>
      </c>
      <c r="I5" s="310">
        <v>297</v>
      </c>
    </row>
    <row r="6" spans="1:11" ht="15">
      <c r="A6" s="35"/>
      <c r="B6" s="36" t="s">
        <v>24</v>
      </c>
      <c r="C6" s="37">
        <v>6</v>
      </c>
      <c r="D6" s="4"/>
      <c r="E6" s="294" t="s">
        <v>208</v>
      </c>
      <c r="F6" s="293" t="s">
        <v>27</v>
      </c>
      <c r="G6" s="140"/>
      <c r="H6"/>
    </row>
    <row r="7" spans="1:11" ht="15">
      <c r="A7" s="35"/>
      <c r="B7" s="36" t="s">
        <v>42</v>
      </c>
      <c r="C7" s="37">
        <v>6</v>
      </c>
      <c r="D7" s="4"/>
      <c r="F7" s="311" t="str" cm="1">
        <f t="array" ref="F7">FindBestSheet(H5, I5, F4, F6)</f>
        <v>МИН: 44x32 (1 бр., фира: 11,4%) | МАКС (Оптим.): 45x32 (1 бр., фира: 13,4%)</v>
      </c>
      <c r="G7" s="140"/>
    </row>
    <row r="8" spans="1:11" ht="15">
      <c r="A8" s="35"/>
      <c r="B8" s="36" t="s">
        <v>58</v>
      </c>
      <c r="C8" s="37">
        <v>9</v>
      </c>
      <c r="D8" s="4"/>
      <c r="F8" s="15"/>
    </row>
    <row r="9" spans="1:11" ht="15">
      <c r="A9" s="35"/>
      <c r="B9" s="36" t="s">
        <v>63</v>
      </c>
      <c r="C9" s="37">
        <v>4</v>
      </c>
      <c r="D9" s="4"/>
      <c r="I9" s="139"/>
    </row>
    <row r="10" spans="1:11" ht="15" customHeight="1">
      <c r="A10" s="35"/>
      <c r="B10" s="37" t="s">
        <v>79</v>
      </c>
      <c r="C10" s="37">
        <v>5</v>
      </c>
      <c r="D10" s="4"/>
      <c r="E10" s="124"/>
      <c r="F10" s="124"/>
      <c r="G10" s="124"/>
    </row>
    <row r="11" spans="1:11" ht="15">
      <c r="A11" s="35"/>
      <c r="B11" s="37" t="s">
        <v>97</v>
      </c>
      <c r="C11" s="37">
        <v>11</v>
      </c>
      <c r="D11" s="4"/>
      <c r="E11" s="124"/>
      <c r="F11" s="124"/>
      <c r="G11" s="124"/>
    </row>
    <row r="12" spans="1:11" ht="15">
      <c r="A12" s="35"/>
      <c r="B12" s="37" t="s">
        <v>80</v>
      </c>
      <c r="C12" s="37">
        <v>17</v>
      </c>
      <c r="D12" s="4"/>
      <c r="E12" s="124"/>
      <c r="F12" s="140"/>
      <c r="G12" s="124"/>
    </row>
    <row r="13" spans="1:11" ht="15">
      <c r="A13" s="4"/>
      <c r="B13" s="37" t="s">
        <v>121</v>
      </c>
      <c r="C13" s="37">
        <v>10</v>
      </c>
      <c r="D13" s="4"/>
      <c r="E13" s="143"/>
      <c r="G13" s="140"/>
    </row>
    <row r="14" spans="1:11" ht="15" customHeight="1">
      <c r="A14" s="4"/>
      <c r="B14" s="37" t="s">
        <v>125</v>
      </c>
      <c r="C14" s="37">
        <v>12</v>
      </c>
      <c r="D14" s="4"/>
      <c r="E14" s="150" t="s">
        <v>149</v>
      </c>
      <c r="F14" s="124"/>
      <c r="G14" s="140"/>
    </row>
    <row r="15" spans="1:11" ht="15">
      <c r="A15" s="4"/>
      <c r="B15" s="37" t="s">
        <v>143</v>
      </c>
      <c r="C15" s="37">
        <v>6</v>
      </c>
      <c r="D15" s="4"/>
      <c r="E15" s="150" t="s">
        <v>144</v>
      </c>
      <c r="F15" s="124"/>
      <c r="G15" s="142"/>
    </row>
    <row r="16" spans="1:11" ht="15">
      <c r="A16" s="43" t="s">
        <v>45</v>
      </c>
      <c r="B16" s="38" t="s">
        <v>43</v>
      </c>
      <c r="C16" s="38">
        <v>6</v>
      </c>
      <c r="D16" s="4"/>
      <c r="E16" s="150" t="s">
        <v>150</v>
      </c>
      <c r="F16" s="140"/>
      <c r="G16" s="140"/>
    </row>
    <row r="17" spans="1:7" ht="15">
      <c r="A17" s="38"/>
      <c r="B17" s="38" t="s">
        <v>4</v>
      </c>
      <c r="C17" s="38">
        <v>4</v>
      </c>
      <c r="D17" s="4"/>
      <c r="E17" s="150" t="s">
        <v>146</v>
      </c>
      <c r="F17" s="140"/>
      <c r="G17" s="140"/>
    </row>
    <row r="18" spans="1:7" ht="15" customHeight="1">
      <c r="A18" s="38"/>
      <c r="B18" s="38" t="s">
        <v>53</v>
      </c>
      <c r="C18" s="38">
        <v>6</v>
      </c>
      <c r="D18" s="4"/>
      <c r="E18" s="150" t="s">
        <v>156</v>
      </c>
      <c r="F18" s="140"/>
      <c r="G18" s="140"/>
    </row>
    <row r="19" spans="1:7" ht="15">
      <c r="A19" s="38"/>
      <c r="B19" s="38" t="s">
        <v>81</v>
      </c>
      <c r="C19" s="38">
        <v>12</v>
      </c>
      <c r="D19" s="4"/>
      <c r="E19" s="150" t="s">
        <v>147</v>
      </c>
      <c r="F19" s="140"/>
      <c r="G19" s="140"/>
    </row>
    <row r="20" spans="1:7" ht="15">
      <c r="A20" s="4"/>
      <c r="B20" s="38" t="s">
        <v>172</v>
      </c>
      <c r="C20" s="38">
        <v>8</v>
      </c>
      <c r="D20" s="4"/>
      <c r="E20" s="150" t="s">
        <v>148</v>
      </c>
      <c r="F20" s="140"/>
      <c r="G20" s="140"/>
    </row>
    <row r="21" spans="1:7" ht="15">
      <c r="A21" s="44" t="s">
        <v>46</v>
      </c>
      <c r="B21" s="39" t="s">
        <v>107</v>
      </c>
      <c r="C21" s="39">
        <v>2</v>
      </c>
      <c r="D21" s="4"/>
      <c r="E21" s="150" t="s">
        <v>151</v>
      </c>
      <c r="F21" s="140"/>
      <c r="G21" s="140"/>
    </row>
    <row r="22" spans="1:7" ht="15">
      <c r="A22" s="39"/>
      <c r="B22" s="39" t="s">
        <v>48</v>
      </c>
      <c r="C22" s="39">
        <v>4</v>
      </c>
      <c r="D22" s="4"/>
      <c r="E22" s="150" t="s">
        <v>152</v>
      </c>
      <c r="F22" s="140"/>
      <c r="G22" s="140"/>
    </row>
    <row r="23" spans="1:7" ht="15">
      <c r="A23" s="39"/>
      <c r="B23" s="39" t="s">
        <v>110</v>
      </c>
      <c r="C23" s="39">
        <v>6</v>
      </c>
      <c r="D23" s="4"/>
      <c r="E23" s="150" t="s">
        <v>163</v>
      </c>
      <c r="F23" s="140"/>
      <c r="G23" s="140"/>
    </row>
    <row r="24" spans="1:7" ht="15">
      <c r="A24" s="39"/>
      <c r="B24" s="39" t="s">
        <v>111</v>
      </c>
      <c r="C24" s="39">
        <v>8</v>
      </c>
      <c r="D24" s="4"/>
      <c r="E24" s="150" t="s">
        <v>8</v>
      </c>
      <c r="F24" s="140"/>
      <c r="G24" s="140"/>
    </row>
    <row r="25" spans="1:7" ht="15">
      <c r="A25" s="39"/>
      <c r="B25" s="39" t="s">
        <v>142</v>
      </c>
      <c r="C25" s="39">
        <v>3</v>
      </c>
      <c r="D25" s="4"/>
      <c r="F25" s="140"/>
      <c r="G25" s="140"/>
    </row>
    <row r="26" spans="1:7" ht="15">
      <c r="A26" s="4" t="s">
        <v>66</v>
      </c>
      <c r="B26" s="41" t="s">
        <v>103</v>
      </c>
      <c r="C26" s="41">
        <v>4</v>
      </c>
      <c r="D26" s="4"/>
      <c r="E26" s="4"/>
      <c r="F26" s="4"/>
      <c r="G26" s="4"/>
    </row>
    <row r="27" spans="1:7" ht="15">
      <c r="A27" s="4"/>
      <c r="B27" s="41" t="s">
        <v>99</v>
      </c>
      <c r="C27" s="41">
        <v>6</v>
      </c>
      <c r="D27" s="4"/>
      <c r="E27" s="4"/>
      <c r="F27" s="4"/>
      <c r="G27" s="4"/>
    </row>
    <row r="28" spans="1:7" ht="15">
      <c r="A28" s="4"/>
      <c r="B28" s="41" t="s">
        <v>98</v>
      </c>
      <c r="C28" s="41">
        <v>9</v>
      </c>
      <c r="D28" s="4"/>
      <c r="E28" s="4"/>
      <c r="F28" s="4"/>
      <c r="G28" s="4"/>
    </row>
    <row r="29" spans="1:7" ht="15">
      <c r="A29" s="4"/>
      <c r="B29" s="41" t="s">
        <v>153</v>
      </c>
      <c r="C29" s="41">
        <v>6</v>
      </c>
      <c r="D29" s="4"/>
      <c r="E29" s="4"/>
      <c r="F29" s="4"/>
      <c r="G29" s="4"/>
    </row>
    <row r="30" spans="1:7" ht="15">
      <c r="A30" s="45" t="s">
        <v>74</v>
      </c>
      <c r="B30" s="42" t="s">
        <v>105</v>
      </c>
      <c r="C30" s="42">
        <v>4</v>
      </c>
      <c r="D30" s="4"/>
      <c r="E30" s="4"/>
      <c r="F30" s="4"/>
      <c r="G30" s="4"/>
    </row>
    <row r="31" spans="1:7" ht="15">
      <c r="A31" s="45"/>
      <c r="B31" s="42" t="s">
        <v>75</v>
      </c>
      <c r="C31" s="42">
        <v>9</v>
      </c>
      <c r="D31" s="4"/>
      <c r="E31" s="4"/>
      <c r="F31" s="4"/>
      <c r="G31" s="4"/>
    </row>
    <row r="32" spans="1:7" ht="15">
      <c r="A32" s="45"/>
      <c r="B32" s="42" t="s">
        <v>76</v>
      </c>
      <c r="C32" s="42">
        <v>6</v>
      </c>
      <c r="D32" s="4"/>
      <c r="E32" s="4"/>
      <c r="F32" s="4"/>
      <c r="G32" s="4"/>
    </row>
    <row r="33" spans="1:3" ht="15">
      <c r="A33" s="46" t="s">
        <v>77</v>
      </c>
      <c r="B33" s="40" t="s">
        <v>104</v>
      </c>
      <c r="C33" s="40">
        <v>4</v>
      </c>
    </row>
    <row r="34" spans="1:3" ht="15">
      <c r="A34" s="46"/>
      <c r="B34" s="40" t="s">
        <v>101</v>
      </c>
      <c r="C34" s="40">
        <v>6</v>
      </c>
    </row>
    <row r="35" spans="1:3" ht="15">
      <c r="A35" s="46"/>
      <c r="B35" s="40" t="s">
        <v>100</v>
      </c>
      <c r="C35" s="40">
        <v>9</v>
      </c>
    </row>
    <row r="36" spans="1:3" ht="15">
      <c r="A36" s="46"/>
      <c r="B36" s="40" t="s">
        <v>78</v>
      </c>
      <c r="C36" s="40">
        <v>6</v>
      </c>
    </row>
    <row r="37" spans="1:3" ht="15">
      <c r="A37" s="4"/>
      <c r="B37" s="40" t="s">
        <v>158</v>
      </c>
      <c r="C37" s="40">
        <v>8</v>
      </c>
    </row>
    <row r="38" spans="1:3" ht="15">
      <c r="A38" s="91" t="s">
        <v>127</v>
      </c>
      <c r="B38" s="92" t="s">
        <v>128</v>
      </c>
      <c r="C38" s="92">
        <v>4</v>
      </c>
    </row>
    <row r="39" spans="1:3" ht="15">
      <c r="A39" s="91"/>
      <c r="B39" s="92" t="s">
        <v>129</v>
      </c>
      <c r="C39" s="92">
        <v>6</v>
      </c>
    </row>
    <row r="40" spans="1:3" ht="15">
      <c r="A40" s="93" t="s">
        <v>130</v>
      </c>
      <c r="B40" s="94" t="s">
        <v>131</v>
      </c>
      <c r="C40" s="94">
        <v>4</v>
      </c>
    </row>
    <row r="41" spans="1:3" ht="15">
      <c r="A41" s="93"/>
      <c r="B41" s="94" t="s">
        <v>132</v>
      </c>
      <c r="C41" s="94">
        <v>6</v>
      </c>
    </row>
    <row r="42" spans="1:3" ht="15">
      <c r="A42" s="4"/>
      <c r="B42" s="94" t="s">
        <v>159</v>
      </c>
      <c r="C42" s="94">
        <v>8</v>
      </c>
    </row>
    <row r="43" spans="1:3" ht="15">
      <c r="A43" s="155" t="s">
        <v>160</v>
      </c>
      <c r="B43" s="156" t="s">
        <v>161</v>
      </c>
      <c r="C43" s="156">
        <v>2</v>
      </c>
    </row>
    <row r="44" spans="1:3" ht="15">
      <c r="A44" s="155"/>
      <c r="B44" s="156" t="s">
        <v>162</v>
      </c>
      <c r="C44" s="156">
        <v>4</v>
      </c>
    </row>
    <row r="45" spans="1:3" ht="15">
      <c r="A45" s="307" t="s">
        <v>157</v>
      </c>
      <c r="B45" s="308" t="s">
        <v>109</v>
      </c>
      <c r="C45" s="308">
        <v>4</v>
      </c>
    </row>
    <row r="46" spans="1:3" ht="15">
      <c r="A46" s="307"/>
      <c r="B46" s="308" t="s">
        <v>82</v>
      </c>
      <c r="C46" s="308">
        <v>2</v>
      </c>
    </row>
    <row r="47" spans="1:3" ht="15">
      <c r="A47" s="304" t="s">
        <v>8</v>
      </c>
      <c r="B47" s="305" t="s">
        <v>83</v>
      </c>
      <c r="C47" s="306">
        <v>4</v>
      </c>
    </row>
  </sheetData>
  <dataConsolidate function="count">
    <dataRefs count="1">
      <dataRef ref="B18:B20" sheet="формати"/>
    </dataRefs>
  </dataConsolidate>
  <dataValidations count="6">
    <dataValidation type="list" allowBlank="1" showInputMessage="1" showErrorMessage="1" prompt="до хром 130 г - 64/94_x000a_хром 130 -300 г - Агресионе, 80 г" sqref="F2" xr:uid="{9DC3F934-4174-4BBF-92E4-3328F2B82402}">
      <formula1>formati</formula1>
    </dataValidation>
    <dataValidation type="list" allowBlank="1" showInputMessage="1" showErrorMessage="1" sqref="F4" xr:uid="{39366A18-202F-4689-88EB-820215DC7901}">
      <formula1>obr.</formula1>
    </dataValidation>
    <dataValidation type="list" allowBlank="1" showInputMessage="1" showErrorMessage="1" sqref="F3" xr:uid="{21D4FF0F-D720-497C-B6F7-C634B7B8C674}">
      <formula1>INDIRECT($F$2)</formula1>
    </dataValidation>
    <dataValidation type="decimal" operator="greaterThanOrEqual" allowBlank="1" showInputMessage="1" showErrorMessage="1" error="може да се въвеждат само цифри!" prompt="може да се въвеждат само цифри!" sqref="H5:I5" xr:uid="{8E4E9336-BAEC-40FE-A33C-464A2B0D97E9}">
      <formula1>0</formula1>
    </dataValidation>
    <dataValidation type="list" allowBlank="1" showInputMessage="1" showErrorMessage="1" sqref="F6" xr:uid="{18CF8299-DFEE-4100-85F0-8B03E6ABFFD5}">
      <formula1>"да,не,"</formula1>
    </dataValidation>
    <dataValidation allowBlank="1" showInputMessage="1" showErrorMessage="1" prompt="когато имаме различни формати за рязане, въвеждаме ръчно броя на размноженията..." sqref="H3" xr:uid="{5A9FA790-EEAC-4393-AAC5-B200536DC301}"/>
  </dataValidations>
  <pageMargins left="0.70866141732283472" right="0.70866141732283472" top="0.74803149606299213" bottom="0.74803149606299213" header="0.31496062992125984" footer="0.31496062992125984"/>
  <pageSetup paperSize="9" orientation="portrait" blackAndWhite="1" cellComments="atEnd" horizontalDpi="4294967294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5">
    <tabColor theme="9" tint="0.79998168889431442"/>
  </sheetPr>
  <dimension ref="A1:S27"/>
  <sheetViews>
    <sheetView workbookViewId="0">
      <selection activeCell="J19" sqref="J19"/>
    </sheetView>
  </sheetViews>
  <sheetFormatPr defaultColWidth="9.140625" defaultRowHeight="15.95" customHeight="1"/>
  <cols>
    <col min="1" max="1" width="11" style="59" customWidth="1"/>
    <col min="2" max="2" width="9.140625" style="59"/>
    <col min="3" max="3" width="11.140625" style="59" customWidth="1"/>
    <col min="4" max="4" width="12.42578125" style="59" customWidth="1"/>
    <col min="5" max="5" width="13" style="59" customWidth="1"/>
    <col min="6" max="6" width="14.42578125" style="59" customWidth="1"/>
    <col min="7" max="7" width="7.140625" style="59" customWidth="1"/>
    <col min="8" max="8" width="9.140625" style="59"/>
    <col min="9" max="9" width="13.42578125" style="59" customWidth="1"/>
    <col min="10" max="10" width="7.140625" style="59" customWidth="1"/>
    <col min="11" max="11" width="6.5703125" style="59" customWidth="1"/>
    <col min="12" max="12" width="9.42578125" style="59" customWidth="1"/>
    <col min="13" max="16" width="3.85546875" style="59" customWidth="1"/>
    <col min="17" max="17" width="9.140625" style="59"/>
    <col min="18" max="18" width="10.5703125" style="59" customWidth="1"/>
    <col min="19" max="16384" width="9.140625" style="59"/>
  </cols>
  <sheetData>
    <row r="1" spans="1:19" ht="39" customHeight="1">
      <c r="A1" s="83" t="s">
        <v>36</v>
      </c>
      <c r="B1" s="84" t="s">
        <v>186</v>
      </c>
      <c r="C1" s="85" t="s">
        <v>20</v>
      </c>
      <c r="D1" s="86" t="s">
        <v>185</v>
      </c>
      <c r="E1" s="84" t="s">
        <v>184</v>
      </c>
      <c r="F1" s="85" t="s">
        <v>7</v>
      </c>
      <c r="G1" s="330" t="s">
        <v>214</v>
      </c>
      <c r="H1" s="87"/>
      <c r="I1" s="88" t="s">
        <v>52</v>
      </c>
      <c r="J1" s="176" t="s">
        <v>181</v>
      </c>
      <c r="K1" s="175" t="s">
        <v>182</v>
      </c>
      <c r="L1" s="174" t="s">
        <v>183</v>
      </c>
    </row>
    <row r="2" spans="1:19" ht="15.95" customHeight="1">
      <c r="A2" s="333" t="s">
        <v>113</v>
      </c>
      <c r="B2" s="62">
        <v>0</v>
      </c>
      <c r="C2" s="60" t="s">
        <v>69</v>
      </c>
      <c r="D2" s="63" t="s">
        <v>187</v>
      </c>
      <c r="E2" s="64" t="s">
        <v>179</v>
      </c>
      <c r="F2" s="331" t="s">
        <v>15</v>
      </c>
      <c r="G2" s="329">
        <v>5.2</v>
      </c>
      <c r="I2" s="68" t="s">
        <v>32</v>
      </c>
      <c r="J2" s="69">
        <v>0</v>
      </c>
      <c r="K2" s="69">
        <v>0</v>
      </c>
      <c r="L2" s="167"/>
    </row>
    <row r="3" spans="1:19" ht="15.95" customHeight="1">
      <c r="A3" s="333" t="s">
        <v>32</v>
      </c>
      <c r="B3" s="62">
        <v>0</v>
      </c>
      <c r="C3" s="60" t="s">
        <v>62</v>
      </c>
      <c r="D3" s="63" t="s">
        <v>188</v>
      </c>
      <c r="E3" s="67"/>
      <c r="F3" s="331" t="s">
        <v>16</v>
      </c>
      <c r="G3" s="329">
        <v>8</v>
      </c>
      <c r="I3" s="71" t="s">
        <v>28</v>
      </c>
      <c r="J3" s="72">
        <v>2.8000000000000001E-2</v>
      </c>
      <c r="K3" s="73">
        <v>5.0999999999999997E-2</v>
      </c>
      <c r="L3" s="168">
        <v>5.6239999999999997</v>
      </c>
    </row>
    <row r="4" spans="1:19" ht="15.95" customHeight="1">
      <c r="A4" s="333" t="s">
        <v>38</v>
      </c>
      <c r="B4" s="62">
        <v>0.06</v>
      </c>
      <c r="C4" s="60" t="s">
        <v>141</v>
      </c>
      <c r="D4" s="63" t="s">
        <v>126</v>
      </c>
      <c r="E4" s="69"/>
      <c r="F4" s="331" t="s">
        <v>13</v>
      </c>
      <c r="G4" s="329">
        <v>8</v>
      </c>
      <c r="I4" s="71" t="s">
        <v>30</v>
      </c>
      <c r="J4" s="74">
        <f>J3*2</f>
        <v>5.6000000000000001E-2</v>
      </c>
      <c r="K4" s="73">
        <f>K3*2</f>
        <v>0.10199999999999999</v>
      </c>
      <c r="L4" s="168">
        <v>5.6239999999999997</v>
      </c>
    </row>
    <row r="5" spans="1:19" ht="15.95" customHeight="1">
      <c r="A5" s="333" t="s">
        <v>57</v>
      </c>
      <c r="B5" s="62">
        <v>0.02</v>
      </c>
      <c r="C5" s="70" t="s">
        <v>26</v>
      </c>
      <c r="D5" s="61"/>
      <c r="E5" s="69" t="s">
        <v>175</v>
      </c>
      <c r="F5" s="331" t="s">
        <v>17</v>
      </c>
      <c r="G5" s="329">
        <v>10.3</v>
      </c>
      <c r="I5" s="71" t="s">
        <v>59</v>
      </c>
      <c r="J5" s="72">
        <v>0</v>
      </c>
      <c r="K5" s="72">
        <v>0.2</v>
      </c>
      <c r="L5" s="167">
        <v>7.67</v>
      </c>
    </row>
    <row r="6" spans="1:19" ht="15.95" customHeight="1">
      <c r="A6" s="333" t="s">
        <v>90</v>
      </c>
      <c r="B6" s="62">
        <v>6.4000000000000001E-2</v>
      </c>
      <c r="C6" s="60" t="s">
        <v>27</v>
      </c>
      <c r="D6" s="61"/>
      <c r="E6" s="69" t="s">
        <v>176</v>
      </c>
      <c r="F6" s="331" t="s">
        <v>189</v>
      </c>
      <c r="G6" s="329">
        <v>2.7</v>
      </c>
      <c r="I6" s="71" t="s">
        <v>112</v>
      </c>
      <c r="J6" s="74">
        <v>0</v>
      </c>
      <c r="K6" s="73">
        <f>K5*2</f>
        <v>0.4</v>
      </c>
      <c r="L6" s="168">
        <v>7.67</v>
      </c>
    </row>
    <row r="7" spans="1:19" ht="15.95" customHeight="1">
      <c r="A7" s="333" t="s">
        <v>37</v>
      </c>
      <c r="B7" s="62">
        <v>1.5E-3</v>
      </c>
      <c r="C7" s="60"/>
      <c r="D7" s="328"/>
      <c r="E7" s="67"/>
      <c r="F7" s="331" t="s">
        <v>20</v>
      </c>
      <c r="G7" s="329">
        <v>2.7</v>
      </c>
      <c r="I7" s="71" t="s">
        <v>29</v>
      </c>
      <c r="J7" s="72">
        <v>5.6000000000000001E-2</v>
      </c>
      <c r="K7" s="72">
        <v>6.4000000000000001E-2</v>
      </c>
      <c r="L7" s="167">
        <v>5.6239999999999997</v>
      </c>
    </row>
    <row r="8" spans="1:19" ht="15.95" customHeight="1">
      <c r="A8" s="333" t="s">
        <v>64</v>
      </c>
      <c r="B8" s="76">
        <v>1.2E-2</v>
      </c>
      <c r="C8" s="326"/>
      <c r="D8" s="328"/>
      <c r="E8" s="69"/>
      <c r="F8" s="331"/>
      <c r="G8" s="69"/>
      <c r="I8" s="71" t="s">
        <v>31</v>
      </c>
      <c r="J8" s="74">
        <f>J7*2</f>
        <v>0.112</v>
      </c>
      <c r="K8" s="73">
        <f>K7*2</f>
        <v>0.128</v>
      </c>
      <c r="L8" s="168">
        <v>5.6239999999999997</v>
      </c>
    </row>
    <row r="9" spans="1:19" ht="15.95" customHeight="1">
      <c r="A9" s="333" t="s">
        <v>169</v>
      </c>
      <c r="B9" s="62">
        <v>4.1000000000000002E-2</v>
      </c>
      <c r="C9" s="327"/>
      <c r="D9" s="328"/>
      <c r="E9" s="67"/>
      <c r="F9" s="331"/>
      <c r="G9" s="236"/>
      <c r="I9" s="71" t="s">
        <v>114</v>
      </c>
      <c r="J9" s="72">
        <v>-1</v>
      </c>
      <c r="K9" s="72">
        <v>0</v>
      </c>
      <c r="L9" s="167">
        <v>23.007999999999999</v>
      </c>
    </row>
    <row r="10" spans="1:19" ht="15.95" customHeight="1">
      <c r="A10" s="77"/>
      <c r="B10" s="62"/>
      <c r="C10" s="60"/>
      <c r="D10" s="328"/>
      <c r="E10" s="67"/>
      <c r="F10" s="331"/>
      <c r="G10" s="236"/>
      <c r="I10" s="65" t="s">
        <v>70</v>
      </c>
      <c r="J10" s="78">
        <v>-1</v>
      </c>
      <c r="K10" s="78">
        <v>0</v>
      </c>
      <c r="L10" s="169">
        <v>10.23</v>
      </c>
    </row>
    <row r="11" spans="1:19" ht="15.95" customHeight="1">
      <c r="A11" s="77"/>
      <c r="B11" s="62"/>
      <c r="C11" s="60"/>
      <c r="D11" s="75"/>
      <c r="E11" s="67"/>
      <c r="F11" s="332"/>
      <c r="G11" s="236"/>
      <c r="I11" s="71" t="s">
        <v>65</v>
      </c>
      <c r="J11" s="74">
        <v>7.0999999999999994E-2</v>
      </c>
      <c r="K11" s="172">
        <v>0</v>
      </c>
      <c r="L11" s="170">
        <v>41.42</v>
      </c>
    </row>
    <row r="12" spans="1:19" ht="15.95" customHeight="1">
      <c r="A12" s="79"/>
      <c r="B12" s="76"/>
      <c r="I12" s="65" t="s">
        <v>154</v>
      </c>
      <c r="J12" s="66">
        <f>J11*2</f>
        <v>0.14199999999999999</v>
      </c>
      <c r="K12" s="173">
        <v>0</v>
      </c>
      <c r="L12" s="171">
        <v>41.42</v>
      </c>
    </row>
    <row r="13" spans="1:19" ht="15.95" customHeight="1">
      <c r="I13" s="65" t="s">
        <v>155</v>
      </c>
      <c r="J13" s="74">
        <v>7.4999999999999997E-2</v>
      </c>
      <c r="K13" s="69"/>
      <c r="L13" s="167">
        <v>43.46</v>
      </c>
      <c r="R13"/>
    </row>
    <row r="15" spans="1:19" ht="15.95" customHeight="1">
      <c r="A15" s="325" t="s">
        <v>92</v>
      </c>
      <c r="B15" s="80">
        <v>23</v>
      </c>
      <c r="R15" s="153"/>
      <c r="S15" s="69"/>
    </row>
    <row r="16" spans="1:19" ht="15.95" customHeight="1">
      <c r="A16" s="81" t="s">
        <v>93</v>
      </c>
      <c r="B16" s="82">
        <v>12</v>
      </c>
      <c r="I16" s="152"/>
      <c r="K16" s="124"/>
      <c r="R16" s="154"/>
      <c r="S16" s="69"/>
    </row>
    <row r="17" spans="1:19" ht="15.95" customHeight="1">
      <c r="R17" s="153"/>
      <c r="S17" s="69"/>
    </row>
    <row r="18" spans="1:19" ht="15.95" customHeight="1">
      <c r="R18" s="153"/>
      <c r="S18" s="69"/>
    </row>
    <row r="19" spans="1:19" ht="15.95" customHeight="1">
      <c r="A19" s="118" t="s">
        <v>138</v>
      </c>
      <c r="B19" t="s">
        <v>177</v>
      </c>
      <c r="R19" s="153"/>
      <c r="S19" s="69"/>
    </row>
    <row r="20" spans="1:19" ht="15.95" customHeight="1">
      <c r="A20" s="118" t="s">
        <v>137</v>
      </c>
      <c r="B20" t="s">
        <v>178</v>
      </c>
      <c r="R20" s="153"/>
      <c r="S20" s="69"/>
    </row>
    <row r="21" spans="1:19" ht="15.95" customHeight="1">
      <c r="A21" s="118" t="s">
        <v>139</v>
      </c>
      <c r="B21" t="s">
        <v>180</v>
      </c>
      <c r="R21" s="153"/>
      <c r="S21" s="69"/>
    </row>
    <row r="22" spans="1:19" ht="15.95" customHeight="1">
      <c r="A22" s="119" t="s">
        <v>34</v>
      </c>
      <c r="B22" s="59">
        <v>5.0000000000000001E-3</v>
      </c>
      <c r="R22" s="153"/>
      <c r="S22" s="69"/>
    </row>
    <row r="23" spans="1:19" ht="15.95" customHeight="1">
      <c r="A23" s="119" t="s">
        <v>140</v>
      </c>
      <c r="B23" s="59">
        <v>5.0000000000000001E-3</v>
      </c>
      <c r="R23" s="153"/>
      <c r="S23" s="69"/>
    </row>
    <row r="24" spans="1:19" ht="15.95" customHeight="1">
      <c r="I24" s="107"/>
      <c r="R24" s="153"/>
      <c r="S24" s="69"/>
    </row>
    <row r="25" spans="1:19" ht="15.95" customHeight="1">
      <c r="R25" s="153"/>
      <c r="S25" s="69"/>
    </row>
    <row r="26" spans="1:19" ht="15.95" customHeight="1">
      <c r="I26" s="199"/>
      <c r="J26" s="127"/>
      <c r="K26" s="198"/>
      <c r="R26" s="153"/>
      <c r="S26" s="69"/>
    </row>
    <row r="27" spans="1:19" ht="15.95" customHeight="1">
      <c r="I27" s="206"/>
      <c r="J27" s="205"/>
      <c r="K27"/>
      <c r="R27" s="153"/>
      <c r="S27" s="69"/>
    </row>
  </sheetData>
  <dataConsolidate/>
  <conditionalFormatting sqref="I2:I13">
    <cfRule type="expression" dxfId="23" priority="56">
      <formula>I2=$I$16</formula>
    </cfRule>
  </conditionalFormatting>
  <conditionalFormatting sqref="K16">
    <cfRule type="expression" dxfId="22" priority="1">
      <formula>SEARCH($I$16,"частичен*")</formula>
    </cfRule>
  </conditionalFormatting>
  <dataValidations count="1">
    <dataValidation type="list" allowBlank="1" showInputMessage="1" showErrorMessage="1" sqref="I16" xr:uid="{F46D2235-A2C8-4BC5-9F74-8D09F920324F}">
      <formula1>$I$2:$I$13</formula1>
    </dataValidation>
  </dataValidations>
  <pageMargins left="0.7" right="0.7" top="0.75" bottom="0.75" header="0.3" footer="0.3"/>
  <pageSetup paperSize="9" orientation="landscape" horizontalDpi="4294967294" verticalDpi="0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M21"/>
  <sheetViews>
    <sheetView workbookViewId="0">
      <selection activeCell="D24" sqref="D24"/>
    </sheetView>
  </sheetViews>
  <sheetFormatPr defaultColWidth="9.140625" defaultRowHeight="14.25"/>
  <cols>
    <col min="1" max="1" width="13.85546875" style="232" customWidth="1"/>
    <col min="2" max="2" width="21.7109375" style="232" customWidth="1"/>
    <col min="3" max="3" width="15.140625" style="232" customWidth="1"/>
    <col min="4" max="4" width="20.140625" style="232" customWidth="1"/>
    <col min="5" max="5" width="6.5703125" style="232" customWidth="1"/>
    <col min="6" max="6" width="9.28515625" style="232" customWidth="1"/>
    <col min="7" max="7" width="3.85546875" style="232" customWidth="1"/>
    <col min="8" max="10" width="9.140625" style="232"/>
    <col min="11" max="11" width="10.140625" style="232" bestFit="1" customWidth="1"/>
    <col min="12" max="16384" width="9.140625" style="232"/>
  </cols>
  <sheetData>
    <row r="1" spans="1:13" ht="18.95" customHeight="1">
      <c r="A1" s="259" t="s">
        <v>191</v>
      </c>
      <c r="B1" s="237" t="s">
        <v>215</v>
      </c>
      <c r="C1" s="259" t="s">
        <v>190</v>
      </c>
      <c r="D1" s="252" t="s">
        <v>216</v>
      </c>
      <c r="I1" s="233" t="s">
        <v>60</v>
      </c>
      <c r="J1" s="261" t="s">
        <v>205</v>
      </c>
    </row>
    <row r="2" spans="1:13" ht="18.95" customHeight="1">
      <c r="A2" s="258" t="s">
        <v>199</v>
      </c>
      <c r="B2" s="248" t="str">
        <f>'черно+'!B5&amp;"х"&amp;'черно+'!C5&amp;" мм"</f>
        <v>110х152 мм</v>
      </c>
      <c r="C2" s="257" t="s">
        <v>193</v>
      </c>
      <c r="D2" s="247">
        <f ca="1">TODAY()</f>
        <v>46243</v>
      </c>
      <c r="F2" s="101"/>
      <c r="G2" s="101"/>
      <c r="H2" s="101"/>
      <c r="I2" s="101" t="str">
        <f>_xlfn.LET(_xlpm.клиент, UPPER(D1),"ПОРЪЧКА ЗА: " &amp; _xlpm.клиент)</f>
        <v>ПОРЪЧКА ЗА: МАРТИН ЕВА</v>
      </c>
      <c r="J2" s="101"/>
      <c r="K2" s="234"/>
      <c r="M2" s="101"/>
    </row>
    <row r="3" spans="1:13" ht="18.95" customHeight="1">
      <c r="A3" s="259" t="s">
        <v>207</v>
      </c>
      <c r="B3" s="302" t="str">
        <f>'черно+'!B8&amp;" бр."</f>
        <v>5000 бр.</v>
      </c>
      <c r="C3" s="259" t="s">
        <v>197</v>
      </c>
      <c r="D3" s="246" cm="1">
        <f t="array" aca="1" ref="D3" ca="1">INDIRECT("'" &amp; I1 &amp; "'!G30")</f>
        <v>133.69999999999999</v>
      </c>
      <c r="E3" s="101"/>
      <c r="F3" s="101"/>
      <c r="G3" s="101"/>
      <c r="H3" s="101"/>
      <c r="J3" s="101"/>
    </row>
    <row r="4" spans="1:13" ht="18.95" customHeight="1">
      <c r="A4" s="257" t="s">
        <v>196</v>
      </c>
      <c r="B4" s="249" t="str">
        <f>'черно+'!B6 &amp; " + " &amp; 'черно+'!B7</f>
        <v>4 + 0</v>
      </c>
      <c r="C4" s="257" t="s">
        <v>201</v>
      </c>
      <c r="D4" s="256" cm="1">
        <f t="array" aca="1" ref="D4" ca="1">INDIRECT("'" &amp; I1 &amp; "'!G31")</f>
        <v>2.6739999999999996E-2</v>
      </c>
      <c r="E4" s="101"/>
      <c r="F4" s="101"/>
      <c r="G4" s="101"/>
      <c r="H4" s="101"/>
      <c r="J4" s="101"/>
    </row>
    <row r="5" spans="1:13" ht="18.95" customHeight="1">
      <c r="A5" s="259" t="s">
        <v>198</v>
      </c>
      <c r="B5" s="250" t="str">
        <f>UPPER('черно+'!B9)</f>
        <v>НЕ</v>
      </c>
      <c r="C5" s="259" t="s">
        <v>195</v>
      </c>
      <c r="D5" s="251" t="str" cm="1">
        <f t="array" aca="1" ref="D5" ca="1">INDIRECT("'" &amp; I1 &amp; "'!H3") &amp; " €" &amp; " цена/ лист"</f>
        <v>0,1 € цена/ лист</v>
      </c>
      <c r="E5" s="101"/>
      <c r="F5" s="101"/>
      <c r="G5" s="101"/>
      <c r="H5" s="101"/>
      <c r="I5" s="101"/>
      <c r="J5" s="101"/>
    </row>
    <row r="6" spans="1:13" ht="18.95" customHeight="1">
      <c r="A6" s="235">
        <v>150</v>
      </c>
      <c r="B6" s="255" t="s">
        <v>29</v>
      </c>
      <c r="C6" s="257" t="s">
        <v>203</v>
      </c>
      <c r="D6" s="254" t="str">
        <f>'черно+'!B3</f>
        <v>f.70x100</v>
      </c>
      <c r="E6" s="101"/>
      <c r="F6" s="101"/>
      <c r="G6" s="101"/>
      <c r="H6" s="101"/>
      <c r="J6" s="101"/>
    </row>
    <row r="7" spans="1:13" ht="18.95" customHeight="1">
      <c r="A7" s="342" t="str">
        <f>'черно+'!B15 &amp; " листа (вкл. макулатура)"</f>
        <v>170 листа (вкл. макулатура)</v>
      </c>
      <c r="B7" s="343"/>
      <c r="C7" s="259" t="s">
        <v>202</v>
      </c>
      <c r="D7" s="245" t="str">
        <f>'черно+'!B4</f>
        <v>35x25</v>
      </c>
      <c r="E7" s="101"/>
      <c r="F7" s="101"/>
      <c r="G7" s="101"/>
      <c r="H7" s="101"/>
      <c r="J7" s="101"/>
    </row>
    <row r="8" spans="1:13" ht="22.5" customHeight="1">
      <c r="A8" s="260" t="s">
        <v>192</v>
      </c>
      <c r="B8" s="334">
        <f>'черно+'!B12</f>
        <v>1250</v>
      </c>
      <c r="C8" s="257" t="s">
        <v>204</v>
      </c>
      <c r="D8" s="244">
        <f>'черно+'!B11</f>
        <v>4</v>
      </c>
      <c r="E8" s="101"/>
      <c r="F8" s="101"/>
      <c r="G8" s="101"/>
      <c r="H8" s="101"/>
      <c r="J8" s="101"/>
    </row>
    <row r="9" spans="1:13" ht="24.75" customHeight="1">
      <c r="A9" s="253" t="s">
        <v>194</v>
      </c>
      <c r="B9" s="344" t="str">
        <f>_xlfn.LET(_xlpm.лам_вид,'черно+'!H14,_xlpm.ном_стойност,'черно+'!G10,_xlpm.перф,'черно+'!H11,_xlpm.УВ_вид,'черно+'!H13,_xlpm.ном_биг,'черно+'!H16,_xlpm.щанц,'черно+'!H17,_xlpm.сгъв_стойност,'черно+'!H20, _xlpm.текст_лам,IF(OR(_xlpm.лам_вид="без",_xlpm.лам_вид=""),"","Ламинат "&amp;_xlpm.лам_вид),_xlpm.текст_ном,IF(ISNUMBER(_xlpm.ном_стойност),"Номерация",""),_xlpm.текст_перф,IF(OR(_xlpm.перф="без",_xlpm.перф=""),"","Перфорация"),_xlpm.текст_УВ,IF(OR(_xlpm.УВ_вид="без",_xlpm.УВ_вид=""),"","Ув лак "&amp;_xlpm.УВ_вид),_xlpm.текст_биг,IF(OR(_xlpm.ном_биг="без",_xlpm.ном_биг=""),"","Биговане - "&amp;_xlpm.ном_биг&amp;" бига"),_xlpm.текст_сгъв, IF(AND(ISNUMBER(_xlpm.сгъв_стойност), _xlpm.сгъв_стойност &gt; 0), "Сгъване (" &amp; _xlpm.сгъв_стойност &amp; " бр.)", ""),_xlpm.текст_щанц,IF(OR(_xlpm.щанц="без",_xlpm.щанц=""),"","Щанцоване"), _xlpm.списък,_xlfn.TEXTJOIN(" | ",TRUE,_xlpm.текст_лам,_xlpm.текст_ном,_xlpm.текст_перф,_xlpm.текст_УВ,_xlpm.текст_биг, _xlpm.текст_сгъв,_xlpm.текст_щанц),IF(_xlpm.списък="","",""&amp;_xlpm.списък))</f>
        <v>Номерация | Перфорация</v>
      </c>
      <c r="C9" s="345"/>
      <c r="D9" s="346"/>
      <c r="E9" s="101"/>
      <c r="F9" s="101"/>
      <c r="G9" s="101"/>
      <c r="H9" s="101"/>
      <c r="J9" s="101"/>
    </row>
    <row r="10" spans="1:13" ht="24.75" customHeight="1">
      <c r="A10" s="101"/>
      <c r="B10" s="101"/>
      <c r="C10" s="101"/>
      <c r="D10" s="101"/>
      <c r="E10" s="101"/>
      <c r="F10" s="101"/>
      <c r="G10" s="101"/>
      <c r="H10" s="101"/>
      <c r="J10" s="101"/>
    </row>
    <row r="11" spans="1:13">
      <c r="E11" s="101"/>
      <c r="F11" s="101"/>
      <c r="G11" s="101"/>
      <c r="H11" s="101"/>
      <c r="I11" s="101"/>
      <c r="J11" s="101"/>
    </row>
    <row r="12" spans="1:13">
      <c r="E12" s="101"/>
      <c r="F12" s="101"/>
      <c r="G12" s="101"/>
      <c r="H12" s="101"/>
      <c r="I12" s="101"/>
      <c r="J12" s="101"/>
    </row>
    <row r="13" spans="1:13">
      <c r="E13" s="101"/>
      <c r="F13" s="101"/>
      <c r="G13" s="101"/>
      <c r="H13" s="101"/>
      <c r="I13" s="101"/>
      <c r="J13" s="101"/>
    </row>
    <row r="14" spans="1:13">
      <c r="E14" s="101"/>
      <c r="F14" s="101"/>
      <c r="G14" s="101"/>
      <c r="H14" s="101"/>
      <c r="I14" s="101"/>
      <c r="J14" s="101"/>
    </row>
    <row r="15" spans="1:13">
      <c r="E15" s="101"/>
      <c r="F15" s="101"/>
      <c r="G15" s="101"/>
      <c r="H15" s="101"/>
      <c r="I15" s="101"/>
      <c r="J15" s="101"/>
    </row>
    <row r="21" ht="19.5" customHeight="1"/>
  </sheetData>
  <mergeCells count="2">
    <mergeCell ref="A7:B7"/>
    <mergeCell ref="B9:D9"/>
  </mergeCells>
  <dataValidations count="3">
    <dataValidation type="list" errorStyle="information" allowBlank="1" showInputMessage="1" errorTitle="изделието е извън списъка!" sqref="B1" xr:uid="{CA8C99E1-91DD-44D4-88B7-64B561007194}">
      <formula1>"листовка,етикет,корици,дипляна,книжка,флаери,кутия,каталог,визитки,ваучери,талони,подложки"</formula1>
    </dataValidation>
    <dataValidation type="list" allowBlank="1" showInputMessage="1" sqref="D1" xr:uid="{31FA5714-1446-45D0-80D3-7C291F557C04}">
      <formula1>"Ани,Лили,Джони,Аргир/Заре,Роси,Иван,Наум,Ицо,Симеон,Гатеви"</formula1>
    </dataValidation>
    <dataValidation type="list" allowBlank="1" sqref="A6" xr:uid="{3EBA1611-F29C-40E8-AC5C-920D4A125826}">
      <formula1>hartiya</formula1>
    </dataValidation>
  </dataValidations>
  <pageMargins left="0.25" right="0.25" top="0.75" bottom="0.75" header="0.3" footer="0.3"/>
  <pageSetup paperSize="9" orientation="landscape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>
    <tabColor theme="7" tint="0.79998168889431442"/>
  </sheetPr>
  <dimension ref="A1:F23"/>
  <sheetViews>
    <sheetView workbookViewId="0">
      <selection activeCell="C26" sqref="C26"/>
    </sheetView>
  </sheetViews>
  <sheetFormatPr defaultRowHeight="15"/>
  <cols>
    <col min="1" max="1" width="17.140625" customWidth="1"/>
    <col min="4" max="4" width="11.42578125" customWidth="1"/>
  </cols>
  <sheetData>
    <row r="1" spans="1:6">
      <c r="A1" s="348" t="s">
        <v>87</v>
      </c>
      <c r="B1" s="348"/>
      <c r="C1" s="12"/>
    </row>
    <row r="2" spans="1:6" ht="15" customHeight="1">
      <c r="A2" s="162"/>
      <c r="B2" s="162"/>
      <c r="C2" s="4"/>
      <c r="D2" s="4"/>
    </row>
    <row r="3" spans="1:6" ht="18.75" customHeight="1">
      <c r="A3" s="347" t="s">
        <v>89</v>
      </c>
      <c r="B3" s="347"/>
      <c r="D3" s="4"/>
      <c r="E3" s="224">
        <f>E4*E9</f>
        <v>2.5034624000000001</v>
      </c>
    </row>
    <row r="4" spans="1:6" ht="19.5" customHeight="1">
      <c r="A4" s="347"/>
      <c r="B4" s="347"/>
      <c r="D4" s="181" t="s">
        <v>119</v>
      </c>
      <c r="E4" s="225">
        <f>VLOOKUP(D4,montaj[#All],2)</f>
        <v>1.28</v>
      </c>
    </row>
    <row r="5" spans="1:6" ht="25.5" customHeight="1">
      <c r="A5" s="13" t="s">
        <v>54</v>
      </c>
      <c r="B5" s="13" t="s">
        <v>56</v>
      </c>
    </row>
    <row r="6" spans="1:6" ht="24" customHeight="1">
      <c r="A6" s="236" t="s">
        <v>32</v>
      </c>
      <c r="B6" s="207">
        <v>0</v>
      </c>
      <c r="D6" s="4"/>
    </row>
    <row r="7" spans="1:6" ht="15" customHeight="1">
      <c r="A7" s="238" t="s">
        <v>120</v>
      </c>
      <c r="B7" s="208">
        <v>2.56</v>
      </c>
      <c r="D7" s="4"/>
    </row>
    <row r="8" spans="1:6" ht="15.75" customHeight="1">
      <c r="A8" s="238" t="s">
        <v>86</v>
      </c>
      <c r="B8" s="208">
        <v>1.02</v>
      </c>
      <c r="D8" s="4"/>
    </row>
    <row r="9" spans="1:6" ht="15" customHeight="1">
      <c r="A9" s="236" t="s">
        <v>88</v>
      </c>
      <c r="B9" s="209">
        <v>1.53</v>
      </c>
      <c r="D9" s="199" t="s">
        <v>173</v>
      </c>
      <c r="E9" s="226">
        <v>1.95583</v>
      </c>
      <c r="F9" s="198" t="s">
        <v>174</v>
      </c>
    </row>
    <row r="10" spans="1:6" ht="19.5" customHeight="1">
      <c r="A10" s="238" t="s">
        <v>85</v>
      </c>
      <c r="B10" s="208">
        <v>1.28</v>
      </c>
      <c r="D10" s="200">
        <v>25</v>
      </c>
      <c r="E10" s="205">
        <f>D10/E9</f>
        <v>12.782297029905463</v>
      </c>
    </row>
    <row r="11" spans="1:6" ht="24.75" customHeight="1">
      <c r="A11" s="236" t="s">
        <v>167</v>
      </c>
      <c r="B11" s="210">
        <v>0.51</v>
      </c>
      <c r="C11" s="4"/>
      <c r="D11" s="4"/>
    </row>
    <row r="12" spans="1:6" ht="26.25" customHeight="1">
      <c r="A12" s="238" t="s">
        <v>84</v>
      </c>
      <c r="B12" s="208">
        <v>2.56</v>
      </c>
      <c r="C12" s="4"/>
    </row>
    <row r="13" spans="1:6" ht="21.75" customHeight="1">
      <c r="A13" s="238" t="s">
        <v>94</v>
      </c>
      <c r="B13" s="208">
        <v>0.25</v>
      </c>
      <c r="C13" s="4"/>
      <c r="D13" s="4"/>
    </row>
    <row r="14" spans="1:6" ht="21" customHeight="1">
      <c r="A14" s="236" t="s">
        <v>119</v>
      </c>
      <c r="B14" s="211">
        <v>1.28</v>
      </c>
      <c r="C14" s="4"/>
      <c r="D14" s="4"/>
    </row>
    <row r="15" spans="1:6" ht="21" customHeight="1">
      <c r="A15" s="4"/>
      <c r="B15" s="4"/>
      <c r="C15" s="4"/>
    </row>
    <row r="16" spans="1:6" ht="28.5" customHeight="1">
      <c r="A16" s="4"/>
      <c r="B16" s="4"/>
      <c r="C16" s="4"/>
      <c r="D16" s="4"/>
    </row>
    <row r="17" spans="1:4">
      <c r="A17" s="4"/>
      <c r="B17" s="4"/>
      <c r="C17" s="4"/>
      <c r="D17" s="4"/>
    </row>
    <row r="18" spans="1:4" ht="18.75" customHeight="1">
      <c r="A18" s="4"/>
      <c r="B18" s="4"/>
      <c r="C18" s="4"/>
      <c r="D18" s="4"/>
    </row>
    <row r="19" spans="1:4" ht="24.75" customHeight="1">
      <c r="A19" s="4"/>
      <c r="B19" s="4"/>
      <c r="C19" s="4"/>
      <c r="D19" s="4"/>
    </row>
    <row r="20" spans="1:4">
      <c r="A20" s="4"/>
      <c r="B20" s="4"/>
      <c r="C20" s="4"/>
      <c r="D20" s="4"/>
    </row>
    <row r="21" spans="1:4">
      <c r="A21" s="4"/>
      <c r="B21" s="4"/>
      <c r="C21" s="4"/>
      <c r="D21" s="4"/>
    </row>
    <row r="22" spans="1:4" ht="27.75" customHeight="1">
      <c r="A22" s="4"/>
      <c r="B22" s="4"/>
      <c r="C22" s="4"/>
      <c r="D22" s="4"/>
    </row>
    <row r="23" spans="1:4">
      <c r="A23" s="4"/>
      <c r="B23" s="4"/>
      <c r="C23" s="4"/>
      <c r="D23" s="4"/>
    </row>
  </sheetData>
  <mergeCells count="2">
    <mergeCell ref="A3:B4"/>
    <mergeCell ref="A1:B1"/>
  </mergeCells>
  <dataValidations count="1">
    <dataValidation type="list" allowBlank="1" showInputMessage="1" showErrorMessage="1" sqref="D4" xr:uid="{00000000-0002-0000-0A00-000000000000}">
      <formula1>el.montaj</formula1>
    </dataValidation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677BA2-5326-4503-92C9-C049DDD11F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5</vt:i4>
      </vt:variant>
      <vt:variant>
        <vt:lpstr>Наименувани диапазони</vt:lpstr>
      </vt:variant>
      <vt:variant>
        <vt:i4>20</vt:i4>
      </vt:variant>
    </vt:vector>
  </HeadingPairs>
  <TitlesOfParts>
    <vt:vector size="25" baseType="lpstr">
      <vt:lpstr>черно+</vt:lpstr>
      <vt:lpstr>формати</vt:lpstr>
      <vt:lpstr>довърш.</vt:lpstr>
      <vt:lpstr>заявка</vt:lpstr>
      <vt:lpstr>предпечат и ел. монтаж</vt:lpstr>
      <vt:lpstr>el.montaj</vt:lpstr>
      <vt:lpstr>f.43x61</vt:lpstr>
      <vt:lpstr>f.50x70</vt:lpstr>
      <vt:lpstr>f.60x84</vt:lpstr>
      <vt:lpstr>f.60x90</vt:lpstr>
      <vt:lpstr>f.61x86</vt:lpstr>
      <vt:lpstr>f.64x88</vt:lpstr>
      <vt:lpstr>f.64x90</vt:lpstr>
      <vt:lpstr>f.64x94</vt:lpstr>
      <vt:lpstr>f.70x100</vt:lpstr>
      <vt:lpstr>form_Cyal_list</vt:lpstr>
      <vt:lpstr>formati</vt:lpstr>
      <vt:lpstr>Hymiya</vt:lpstr>
      <vt:lpstr>lak</vt:lpstr>
      <vt:lpstr>lepene</vt:lpstr>
      <vt:lpstr>obr.</vt:lpstr>
      <vt:lpstr>podgot_cena</vt:lpstr>
      <vt:lpstr>uv</vt:lpstr>
      <vt:lpstr>uv_podgot</vt:lpstr>
      <vt:lpstr>плаки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 P</cp:lastModifiedBy>
  <cp:lastPrinted>2026-04-14T05:55:24Z</cp:lastPrinted>
  <dcterms:created xsi:type="dcterms:W3CDTF">2013-10-04T06:52:13Z</dcterms:created>
  <dcterms:modified xsi:type="dcterms:W3CDTF">2026-08-09T19:29:37Z</dcterms:modified>
</cp:coreProperties>
</file>